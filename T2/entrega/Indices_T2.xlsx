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mberto\Documents\GitHub\MetodosAnaliticos\T2\entrega\"/>
    </mc:Choice>
  </mc:AlternateContent>
  <xr:revisionPtr revIDLastSave="0" documentId="13_ncr:1_{1CDA7E5E-73A1-48DC-AC70-28FD389F2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ia-me" sheetId="1" r:id="rId1"/>
    <sheet name="Estados_inicial" sheetId="2" r:id="rId2"/>
    <sheet name="Estados_melhorado" sheetId="3" r:id="rId3"/>
    <sheet name="Indices" sheetId="4" r:id="rId4"/>
    <sheet name="Comparacao" sheetId="5" r:id="rId5"/>
    <sheet name="Replicaco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6" l="1"/>
  <c r="F106" i="6"/>
  <c r="E106" i="6"/>
  <c r="D106" i="6"/>
  <c r="G105" i="6"/>
  <c r="F105" i="6"/>
  <c r="E105" i="6"/>
  <c r="D105" i="6"/>
  <c r="G104" i="6"/>
  <c r="F104" i="6"/>
  <c r="E104" i="6"/>
  <c r="D104" i="6"/>
  <c r="G103" i="6"/>
  <c r="F103" i="6"/>
  <c r="E103" i="6"/>
  <c r="D103" i="6"/>
  <c r="G102" i="6"/>
  <c r="F102" i="6"/>
  <c r="E102" i="6"/>
  <c r="D102" i="6"/>
  <c r="G101" i="6"/>
  <c r="F101" i="6"/>
  <c r="E101" i="6"/>
  <c r="D101" i="6"/>
  <c r="G100" i="6"/>
  <c r="F100" i="6"/>
  <c r="E100" i="6"/>
  <c r="D100" i="6"/>
  <c r="G99" i="6"/>
  <c r="F99" i="6"/>
  <c r="E99" i="6"/>
  <c r="D99" i="6"/>
  <c r="G98" i="6"/>
  <c r="F98" i="6"/>
  <c r="E98" i="6"/>
  <c r="D98" i="6"/>
  <c r="G97" i="6"/>
  <c r="F97" i="6"/>
  <c r="E97" i="6"/>
  <c r="D97" i="6"/>
  <c r="G96" i="6"/>
  <c r="F96" i="6"/>
  <c r="E96" i="6"/>
  <c r="D96" i="6"/>
  <c r="G95" i="6"/>
  <c r="F95" i="6"/>
  <c r="E95" i="6"/>
  <c r="D95" i="6"/>
  <c r="G94" i="6"/>
  <c r="F94" i="6"/>
  <c r="E94" i="6"/>
  <c r="D94" i="6"/>
  <c r="G93" i="6"/>
  <c r="F93" i="6"/>
  <c r="E93" i="6"/>
  <c r="D93" i="6"/>
  <c r="G92" i="6"/>
  <c r="F92" i="6"/>
  <c r="E92" i="6"/>
  <c r="D92" i="6"/>
  <c r="G91" i="6"/>
  <c r="F91" i="6"/>
  <c r="E91" i="6"/>
  <c r="D91" i="6"/>
  <c r="G90" i="6"/>
  <c r="F90" i="6"/>
  <c r="E90" i="6"/>
  <c r="D90" i="6"/>
  <c r="G89" i="6"/>
  <c r="F89" i="6"/>
  <c r="E89" i="6"/>
  <c r="D89" i="6"/>
  <c r="G88" i="6"/>
  <c r="F88" i="6"/>
  <c r="E88" i="6"/>
  <c r="D88" i="6"/>
  <c r="G87" i="6"/>
  <c r="F87" i="6"/>
  <c r="E87" i="6"/>
  <c r="D87" i="6"/>
  <c r="G86" i="6"/>
  <c r="F86" i="6"/>
  <c r="E86" i="6"/>
  <c r="D86" i="6"/>
  <c r="G85" i="6"/>
  <c r="F85" i="6"/>
  <c r="E85" i="6"/>
  <c r="D85" i="6"/>
  <c r="G84" i="6"/>
  <c r="F84" i="6"/>
  <c r="E84" i="6"/>
  <c r="D84" i="6"/>
  <c r="G83" i="6"/>
  <c r="F83" i="6"/>
  <c r="E83" i="6"/>
  <c r="D83" i="6"/>
  <c r="G82" i="6"/>
  <c r="F82" i="6"/>
  <c r="E82" i="6"/>
  <c r="D82" i="6"/>
  <c r="G81" i="6"/>
  <c r="F81" i="6"/>
  <c r="E81" i="6"/>
  <c r="D81" i="6"/>
  <c r="G80" i="6"/>
  <c r="F80" i="6"/>
  <c r="E80" i="6"/>
  <c r="D80" i="6"/>
  <c r="G79" i="6"/>
  <c r="F79" i="6"/>
  <c r="E79" i="6"/>
  <c r="D79" i="6"/>
  <c r="G78" i="6"/>
  <c r="F78" i="6"/>
  <c r="E78" i="6"/>
  <c r="D78" i="6"/>
  <c r="G77" i="6"/>
  <c r="F77" i="6"/>
  <c r="E77" i="6"/>
  <c r="D77" i="6"/>
  <c r="G76" i="6"/>
  <c r="F76" i="6"/>
  <c r="E76" i="6"/>
  <c r="D76" i="6"/>
  <c r="G75" i="6"/>
  <c r="F75" i="6"/>
  <c r="E75" i="6"/>
  <c r="D75" i="6"/>
  <c r="G74" i="6"/>
  <c r="F74" i="6"/>
  <c r="E74" i="6"/>
  <c r="D74" i="6"/>
  <c r="G73" i="6"/>
  <c r="F73" i="6"/>
  <c r="E73" i="6"/>
  <c r="D73" i="6"/>
  <c r="G72" i="6"/>
  <c r="F72" i="6"/>
  <c r="E72" i="6"/>
  <c r="D72" i="6"/>
  <c r="G71" i="6"/>
  <c r="F71" i="6"/>
  <c r="E71" i="6"/>
  <c r="D71" i="6"/>
  <c r="G70" i="6"/>
  <c r="F70" i="6"/>
  <c r="E70" i="6"/>
  <c r="D70" i="6"/>
  <c r="G69" i="6"/>
  <c r="F69" i="6"/>
  <c r="E69" i="6"/>
  <c r="D69" i="6"/>
  <c r="G68" i="6"/>
  <c r="F68" i="6"/>
  <c r="E68" i="6"/>
  <c r="D68" i="6"/>
  <c r="G67" i="6"/>
  <c r="F67" i="6"/>
  <c r="E67" i="6"/>
  <c r="D67" i="6"/>
  <c r="G66" i="6"/>
  <c r="F66" i="6"/>
  <c r="E66" i="6"/>
  <c r="D66" i="6"/>
  <c r="G65" i="6"/>
  <c r="F65" i="6"/>
  <c r="E65" i="6"/>
  <c r="D65" i="6"/>
  <c r="D18" i="5"/>
  <c r="C18" i="5"/>
  <c r="E18" i="5" s="1"/>
  <c r="D12" i="5"/>
  <c r="C12" i="5"/>
  <c r="E12" i="5" s="1"/>
  <c r="Q7" i="4"/>
  <c r="D19" i="5" s="1"/>
  <c r="G7" i="4"/>
  <c r="F7" i="4"/>
  <c r="E7" i="4"/>
  <c r="L7" i="4" s="1"/>
  <c r="M7" i="4" s="1"/>
  <c r="D7" i="4"/>
  <c r="C7" i="4"/>
  <c r="G6" i="4"/>
  <c r="F6" i="4"/>
  <c r="E6" i="4"/>
  <c r="L6" i="4" s="1"/>
  <c r="M6" i="4" s="1"/>
  <c r="D6" i="4"/>
  <c r="Q6" i="4" s="1"/>
  <c r="D13" i="5" s="1"/>
  <c r="C6" i="4"/>
  <c r="G5" i="4"/>
  <c r="D6" i="5" s="1"/>
  <c r="F5" i="4"/>
  <c r="E5" i="4"/>
  <c r="L5" i="4" s="1"/>
  <c r="M5" i="4" s="1"/>
  <c r="D5" i="4"/>
  <c r="C5" i="4"/>
  <c r="G4" i="4"/>
  <c r="Q4" i="4" s="1"/>
  <c r="C19" i="5" s="1"/>
  <c r="E19" i="5" s="1"/>
  <c r="F4" i="4"/>
  <c r="E4" i="4"/>
  <c r="L4" i="4" s="1"/>
  <c r="M4" i="4" s="1"/>
  <c r="D4" i="4"/>
  <c r="C4" i="4"/>
  <c r="G3" i="4"/>
  <c r="Q3" i="4" s="1"/>
  <c r="C13" i="5" s="1"/>
  <c r="F3" i="4"/>
  <c r="E3" i="4"/>
  <c r="L3" i="4" s="1"/>
  <c r="M3" i="4" s="1"/>
  <c r="D3" i="4"/>
  <c r="C3" i="4"/>
  <c r="Q2" i="4"/>
  <c r="C7" i="5" s="1"/>
  <c r="E7" i="5" s="1"/>
  <c r="L2" i="4"/>
  <c r="M2" i="4" s="1"/>
  <c r="G2" i="4"/>
  <c r="C6" i="5" s="1"/>
  <c r="E6" i="5" s="1"/>
  <c r="F2" i="4"/>
  <c r="E2" i="4"/>
  <c r="D2" i="4"/>
  <c r="C2" i="4"/>
  <c r="H26" i="3"/>
  <c r="J26" i="3" s="1"/>
  <c r="H25" i="3"/>
  <c r="I25" i="3" s="1"/>
  <c r="H24" i="3"/>
  <c r="I24" i="3" s="1"/>
  <c r="H23" i="3"/>
  <c r="J23" i="3" s="1"/>
  <c r="H22" i="3"/>
  <c r="J22" i="3" s="1"/>
  <c r="H21" i="3"/>
  <c r="H7" i="4" s="1"/>
  <c r="H20" i="3"/>
  <c r="I20" i="3" s="1"/>
  <c r="H19" i="3"/>
  <c r="J19" i="3" s="1"/>
  <c r="J18" i="3"/>
  <c r="H18" i="3"/>
  <c r="I18" i="3" s="1"/>
  <c r="H17" i="3"/>
  <c r="J17" i="3" s="1"/>
  <c r="H16" i="3"/>
  <c r="I16" i="3" s="1"/>
  <c r="H15" i="3"/>
  <c r="I15" i="3" s="1"/>
  <c r="H14" i="3"/>
  <c r="I14" i="3" s="1"/>
  <c r="H13" i="3"/>
  <c r="J13" i="3" s="1"/>
  <c r="H12" i="3"/>
  <c r="J12" i="3" s="1"/>
  <c r="H11" i="3"/>
  <c r="J11" i="3" s="1"/>
  <c r="H10" i="3"/>
  <c r="J10" i="3" s="1"/>
  <c r="H9" i="3"/>
  <c r="I9" i="3" s="1"/>
  <c r="H8" i="3"/>
  <c r="I8" i="3" s="1"/>
  <c r="H7" i="3"/>
  <c r="J7" i="3" s="1"/>
  <c r="H6" i="3"/>
  <c r="J6" i="3" s="1"/>
  <c r="H26" i="2"/>
  <c r="J26" i="2" s="1"/>
  <c r="H25" i="2"/>
  <c r="I25" i="2" s="1"/>
  <c r="H24" i="2"/>
  <c r="J24" i="2" s="1"/>
  <c r="H23" i="2"/>
  <c r="I23" i="2" s="1"/>
  <c r="H22" i="2"/>
  <c r="J22" i="2" s="1"/>
  <c r="H21" i="2"/>
  <c r="H4" i="4" s="1"/>
  <c r="H20" i="2"/>
  <c r="J20" i="2" s="1"/>
  <c r="H19" i="2"/>
  <c r="I19" i="2" s="1"/>
  <c r="H18" i="2"/>
  <c r="I18" i="2" s="1"/>
  <c r="H17" i="2"/>
  <c r="J17" i="2" s="1"/>
  <c r="H16" i="2"/>
  <c r="J16" i="2" s="1"/>
  <c r="H15" i="2"/>
  <c r="I15" i="2" s="1"/>
  <c r="H14" i="2"/>
  <c r="I14" i="2" s="1"/>
  <c r="H13" i="2"/>
  <c r="I13" i="2" s="1"/>
  <c r="H12" i="2"/>
  <c r="J12" i="2" s="1"/>
  <c r="H11" i="2"/>
  <c r="J11" i="2" s="1"/>
  <c r="H10" i="2"/>
  <c r="J10" i="2" s="1"/>
  <c r="H9" i="2"/>
  <c r="I9" i="2" s="1"/>
  <c r="H8" i="2"/>
  <c r="J8" i="2" s="1"/>
  <c r="J7" i="2"/>
  <c r="H7" i="2"/>
  <c r="I7" i="2" s="1"/>
  <c r="H6" i="2"/>
  <c r="J8" i="3" l="1"/>
  <c r="I22" i="3"/>
  <c r="I12" i="2"/>
  <c r="I13" i="3"/>
  <c r="J24" i="3"/>
  <c r="J23" i="2"/>
  <c r="J18" i="2"/>
  <c r="I11" i="2"/>
  <c r="J13" i="2"/>
  <c r="Q5" i="4"/>
  <c r="D7" i="5" s="1"/>
  <c r="H3" i="4"/>
  <c r="I6" i="3"/>
  <c r="I5" i="4" s="1"/>
  <c r="D2" i="5" s="1"/>
  <c r="H2" i="4"/>
  <c r="J5" i="4"/>
  <c r="K5" i="4" s="1"/>
  <c r="D3" i="5" s="1"/>
  <c r="N5" i="4"/>
  <c r="J6" i="4"/>
  <c r="K6" i="4" s="1"/>
  <c r="D9" i="5" s="1"/>
  <c r="E13" i="5"/>
  <c r="I24" i="2"/>
  <c r="I19" i="3"/>
  <c r="J14" i="2"/>
  <c r="J9" i="3"/>
  <c r="J25" i="2"/>
  <c r="J15" i="3"/>
  <c r="J15" i="2"/>
  <c r="I21" i="3"/>
  <c r="I16" i="2"/>
  <c r="J21" i="2"/>
  <c r="J4" i="4" s="1"/>
  <c r="K4" i="4" s="1"/>
  <c r="C15" i="5" s="1"/>
  <c r="I11" i="3"/>
  <c r="J16" i="3"/>
  <c r="H6" i="4"/>
  <c r="I8" i="2"/>
  <c r="J19" i="2"/>
  <c r="J25" i="3"/>
  <c r="I10" i="3"/>
  <c r="I10" i="2"/>
  <c r="I21" i="2"/>
  <c r="J21" i="3"/>
  <c r="J7" i="4" s="1"/>
  <c r="K7" i="4" s="1"/>
  <c r="D15" i="5" s="1"/>
  <c r="H5" i="4"/>
  <c r="I6" i="2"/>
  <c r="I2" i="4" s="1"/>
  <c r="C2" i="5" s="1"/>
  <c r="I22" i="2"/>
  <c r="I17" i="3"/>
  <c r="J9" i="2"/>
  <c r="I20" i="2"/>
  <c r="J20" i="3"/>
  <c r="I26" i="3"/>
  <c r="I26" i="2"/>
  <c r="J6" i="2"/>
  <c r="I17" i="2"/>
  <c r="I12" i="3"/>
  <c r="J14" i="3"/>
  <c r="I7" i="3"/>
  <c r="I23" i="3"/>
  <c r="I3" i="4" l="1"/>
  <c r="C8" i="5" s="1"/>
  <c r="J3" i="4"/>
  <c r="I7" i="4"/>
  <c r="D14" i="5" s="1"/>
  <c r="N6" i="4"/>
  <c r="K3" i="4"/>
  <c r="C9" i="5" s="1"/>
  <c r="E9" i="5" s="1"/>
  <c r="N3" i="4"/>
  <c r="E2" i="5"/>
  <c r="P5" i="4"/>
  <c r="D5" i="5" s="1"/>
  <c r="O5" i="4"/>
  <c r="D4" i="5" s="1"/>
  <c r="E15" i="5"/>
  <c r="J2" i="4"/>
  <c r="N4" i="4"/>
  <c r="O6" i="4"/>
  <c r="D10" i="5" s="1"/>
  <c r="I4" i="4"/>
  <c r="C14" i="5" s="1"/>
  <c r="E14" i="5" s="1"/>
  <c r="I6" i="4"/>
  <c r="D8" i="5" s="1"/>
  <c r="E8" i="5" s="1"/>
  <c r="N7" i="4"/>
  <c r="P3" i="4" l="1"/>
  <c r="C11" i="5" s="1"/>
  <c r="O3" i="4"/>
  <c r="C10" i="5" s="1"/>
  <c r="E10" i="5" s="1"/>
  <c r="K2" i="4"/>
  <c r="C3" i="5" s="1"/>
  <c r="E3" i="5" s="1"/>
  <c r="N2" i="4"/>
  <c r="O7" i="4"/>
  <c r="D16" i="5" s="1"/>
  <c r="P7" i="4"/>
  <c r="D17" i="5" s="1"/>
  <c r="P6" i="4"/>
  <c r="D11" i="5" s="1"/>
  <c r="O4" i="4"/>
  <c r="C16" i="5" s="1"/>
  <c r="P4" i="4"/>
  <c r="C17" i="5" s="1"/>
  <c r="E11" i="5" l="1"/>
  <c r="E17" i="5"/>
  <c r="E16" i="5"/>
  <c r="P2" i="4"/>
  <c r="C5" i="5" s="1"/>
  <c r="E5" i="5" s="1"/>
  <c r="O2" i="4"/>
  <c r="C4" i="5" s="1"/>
  <c r="E4" i="5" s="1"/>
</calcChain>
</file>

<file path=xl/sharedStrings.xml><?xml version="1.0" encoding="utf-8"?>
<sst xmlns="http://schemas.openxmlformats.org/spreadsheetml/2006/main" count="436" uniqueCount="55">
  <si>
    <t>T2 – Rede de filas de uma assistência técnica (modelo hipotético)</t>
  </si>
  <si>
    <t>Integrantes: Artur Lemos Pereira, Raul Neves Pedroso, Humberto Corrêa Gomes</t>
  </si>
  <si>
    <t>Fonte: T2/resultados/inicial.json e melhorado.json; abas Estados_* e Indices usam a semente 42.</t>
  </si>
  <si>
    <t>Premissas: cliente = ordem de serviço; FIFO; K inclui quem está em serviço; chegada a fila cheia = perda.</t>
  </si>
  <si>
    <t>Unidades: tempos em minutos; D em atendimentos/min e D_h = 60*D em atendimentos/h; W em min/visita; perdas_h em perdas/h.</t>
  </si>
  <si>
    <t>Notação do M9 (Prof. Afonso Sales, PUCRS 2026/2), i = 1..K: pi_i = tempo_i / T (coluna p_n); N = SUM(pi_i*i); mu = 1/E[S], E[S] = (a+b)/2; mu_i = MIN(i,c)*mu; D = SUM(pi_i*mu_i) = mu*B; U = SUM(pi_i*MIN(i,c)/c) = B/c; W = N/D.</t>
  </si>
  <si>
    <t>B = SUM(MIN(n,c)*p_n) é auxiliar (servidores ocupados); o estado 0 contribui 0. perdas_h = 60*perdas/T.</t>
  </si>
  <si>
    <t>Dicionário com o JSON/CSV (chaves inalteradas): N = L, D = X, D_h = X_h, W = R; U, B, perdas, perdas_h iguais.</t>
  </si>
  <si>
    <t>Fórmulas conferidas com as imagens do M9 fornecidas pelo grupo.</t>
  </si>
  <si>
    <t>D é estimativa da vazão local pela ocupação (inclui revisitas Q3→Q2), não contagem; W é estimativa de longo prazo por visita.</t>
  </si>
  <si>
    <t>P(K) não é a probabilidade de perda (chegadas não Poisson).</t>
  </si>
  <si>
    <t>Replicacoes: valores exportados do JSON; resumo (média/mín/máx) por fórmulas, descritivo, sem IC.</t>
  </si>
  <si>
    <t>Cenário</t>
  </si>
  <si>
    <t>inicial</t>
  </si>
  <si>
    <t>T (min)</t>
  </si>
  <si>
    <t>Semente</t>
  </si>
  <si>
    <t>Fila</t>
  </si>
  <si>
    <t>c</t>
  </si>
  <si>
    <t>a (min)</t>
  </si>
  <si>
    <t>b (min)</t>
  </si>
  <si>
    <t>Perdas</t>
  </si>
  <si>
    <t>n</t>
  </si>
  <si>
    <t>Tempo_n (min)</t>
  </si>
  <si>
    <t>p_n</t>
  </si>
  <si>
    <t>n*p_n</t>
  </si>
  <si>
    <t>min(n,c)*p_n</t>
  </si>
  <si>
    <t>Q1</t>
  </si>
  <si>
    <t>Q2</t>
  </si>
  <si>
    <t>Q3</t>
  </si>
  <si>
    <t>melhorado</t>
  </si>
  <si>
    <t>Soma p_n</t>
  </si>
  <si>
    <t>N</t>
  </si>
  <si>
    <t>B</t>
  </si>
  <si>
    <t>U</t>
  </si>
  <si>
    <t>E[S] (min)</t>
  </si>
  <si>
    <t>mu (/min/servidor)</t>
  </si>
  <si>
    <t>D (/min)</t>
  </si>
  <si>
    <t>D_h (/h)</t>
  </si>
  <si>
    <t>W (min/visita)</t>
  </si>
  <si>
    <t>Perdas_h (/h)</t>
  </si>
  <si>
    <t>Métrica</t>
  </si>
  <si>
    <t>Inicial</t>
  </si>
  <si>
    <t>Melhorado</t>
  </si>
  <si>
    <t>Variação</t>
  </si>
  <si>
    <t>Unidade da variação</t>
  </si>
  <si>
    <t>% relativo ao inicial</t>
  </si>
  <si>
    <t>pontos percentuais</t>
  </si>
  <si>
    <t>D_h</t>
  </si>
  <si>
    <t>W</t>
  </si>
  <si>
    <t>perdas</t>
  </si>
  <si>
    <t>perdas_h</t>
  </si>
  <si>
    <t>Resumo por fórmulas (descritivo, sem intervalo de confiança)</t>
  </si>
  <si>
    <t>Média</t>
  </si>
  <si>
    <t>Mín</t>
  </si>
  <si>
    <t>Máx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</si>
</sst>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/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0" width="17" customWidth="1"/>
  </cols>
  <sheetData>
    <row r="1" spans="1:10" x14ac:dyDescent="0.25">
      <c r="A1" t="s">
        <v>12</v>
      </c>
      <c r="B1" t="s">
        <v>13</v>
      </c>
    </row>
    <row r="2" spans="1:10" x14ac:dyDescent="0.25">
      <c r="A2" t="s">
        <v>14</v>
      </c>
      <c r="B2">
        <v>1411699.1889408689</v>
      </c>
    </row>
    <row r="3" spans="1:10" x14ac:dyDescent="0.25">
      <c r="A3" t="s">
        <v>15</v>
      </c>
      <c r="B3">
        <v>42</v>
      </c>
    </row>
    <row r="5" spans="1:10" x14ac:dyDescent="0.2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</row>
    <row r="6" spans="1:10" x14ac:dyDescent="0.25">
      <c r="A6" t="s">
        <v>26</v>
      </c>
      <c r="B6">
        <v>1</v>
      </c>
      <c r="C6">
        <v>2</v>
      </c>
      <c r="D6">
        <v>4</v>
      </c>
      <c r="E6">
        <v>0</v>
      </c>
      <c r="F6">
        <v>0</v>
      </c>
      <c r="G6">
        <v>705259.34846782486</v>
      </c>
      <c r="H6" s="4">
        <f t="shared" ref="H6:H26" si="0">G6/$B$2</f>
        <v>0.49958188967789063</v>
      </c>
      <c r="I6" s="5">
        <f t="shared" ref="I6:I26" si="1">F6*H6</f>
        <v>0</v>
      </c>
      <c r="J6" s="5">
        <f t="shared" ref="J6:J26" si="2">MIN(F6,B6)*H6</f>
        <v>0</v>
      </c>
    </row>
    <row r="7" spans="1:10" x14ac:dyDescent="0.25">
      <c r="A7" t="s">
        <v>26</v>
      </c>
      <c r="B7">
        <v>1</v>
      </c>
      <c r="C7">
        <v>2</v>
      </c>
      <c r="D7">
        <v>4</v>
      </c>
      <c r="E7">
        <v>0</v>
      </c>
      <c r="F7">
        <v>1</v>
      </c>
      <c r="G7">
        <v>706439.84047304385</v>
      </c>
      <c r="H7" s="4">
        <f t="shared" si="0"/>
        <v>0.50041811032210926</v>
      </c>
      <c r="I7" s="5">
        <f t="shared" si="1"/>
        <v>0.50041811032210926</v>
      </c>
      <c r="J7" s="5">
        <f t="shared" si="2"/>
        <v>0.50041811032210926</v>
      </c>
    </row>
    <row r="8" spans="1:10" x14ac:dyDescent="0.25">
      <c r="A8" t="s">
        <v>26</v>
      </c>
      <c r="B8">
        <v>1</v>
      </c>
      <c r="C8">
        <v>2</v>
      </c>
      <c r="D8">
        <v>4</v>
      </c>
      <c r="E8">
        <v>0</v>
      </c>
      <c r="F8">
        <v>2</v>
      </c>
      <c r="G8">
        <v>0</v>
      </c>
      <c r="H8" s="4">
        <f t="shared" si="0"/>
        <v>0</v>
      </c>
      <c r="I8" s="5">
        <f t="shared" si="1"/>
        <v>0</v>
      </c>
      <c r="J8" s="5">
        <f t="shared" si="2"/>
        <v>0</v>
      </c>
    </row>
    <row r="9" spans="1:10" x14ac:dyDescent="0.25">
      <c r="A9" t="s">
        <v>26</v>
      </c>
      <c r="B9">
        <v>1</v>
      </c>
      <c r="C9">
        <v>2</v>
      </c>
      <c r="D9">
        <v>4</v>
      </c>
      <c r="E9">
        <v>0</v>
      </c>
      <c r="F9">
        <v>3</v>
      </c>
      <c r="G9">
        <v>0</v>
      </c>
      <c r="H9" s="4">
        <f t="shared" si="0"/>
        <v>0</v>
      </c>
      <c r="I9" s="5">
        <f t="shared" si="1"/>
        <v>0</v>
      </c>
      <c r="J9" s="5">
        <f t="shared" si="2"/>
        <v>0</v>
      </c>
    </row>
    <row r="10" spans="1:10" x14ac:dyDescent="0.25">
      <c r="A10" t="s">
        <v>26</v>
      </c>
      <c r="B10">
        <v>1</v>
      </c>
      <c r="C10">
        <v>2</v>
      </c>
      <c r="D10">
        <v>4</v>
      </c>
      <c r="E10">
        <v>0</v>
      </c>
      <c r="F10">
        <v>4</v>
      </c>
      <c r="G10">
        <v>0</v>
      </c>
      <c r="H10" s="4">
        <f t="shared" si="0"/>
        <v>0</v>
      </c>
      <c r="I10" s="5">
        <f t="shared" si="1"/>
        <v>0</v>
      </c>
      <c r="J10" s="5">
        <f t="shared" si="2"/>
        <v>0</v>
      </c>
    </row>
    <row r="11" spans="1:10" x14ac:dyDescent="0.25">
      <c r="A11" t="s">
        <v>26</v>
      </c>
      <c r="B11">
        <v>1</v>
      </c>
      <c r="C11">
        <v>2</v>
      </c>
      <c r="D11">
        <v>4</v>
      </c>
      <c r="E11">
        <v>0</v>
      </c>
      <c r="F11">
        <v>5</v>
      </c>
      <c r="G11">
        <v>0</v>
      </c>
      <c r="H11" s="4">
        <f t="shared" si="0"/>
        <v>0</v>
      </c>
      <c r="I11" s="5">
        <f t="shared" si="1"/>
        <v>0</v>
      </c>
      <c r="J11" s="5">
        <f t="shared" si="2"/>
        <v>0</v>
      </c>
    </row>
    <row r="12" spans="1:10" x14ac:dyDescent="0.25">
      <c r="A12" t="s">
        <v>27</v>
      </c>
      <c r="B12">
        <v>1</v>
      </c>
      <c r="C12">
        <v>6</v>
      </c>
      <c r="D12">
        <v>10</v>
      </c>
      <c r="E12">
        <v>94045</v>
      </c>
      <c r="F12">
        <v>0</v>
      </c>
      <c r="G12">
        <v>9.2788535969157664</v>
      </c>
      <c r="H12" s="4">
        <f t="shared" si="0"/>
        <v>6.5728263284455459E-6</v>
      </c>
      <c r="I12" s="5">
        <f t="shared" si="1"/>
        <v>0</v>
      </c>
      <c r="J12" s="5">
        <f t="shared" si="2"/>
        <v>0</v>
      </c>
    </row>
    <row r="13" spans="1:10" x14ac:dyDescent="0.25">
      <c r="A13" t="s">
        <v>27</v>
      </c>
      <c r="B13">
        <v>1</v>
      </c>
      <c r="C13">
        <v>6</v>
      </c>
      <c r="D13">
        <v>10</v>
      </c>
      <c r="E13">
        <v>94045</v>
      </c>
      <c r="F13">
        <v>1</v>
      </c>
      <c r="G13">
        <v>7.5354601234671588</v>
      </c>
      <c r="H13" s="4">
        <f t="shared" si="0"/>
        <v>5.3378653062205541E-6</v>
      </c>
      <c r="I13" s="5">
        <f t="shared" si="1"/>
        <v>5.3378653062205541E-6</v>
      </c>
      <c r="J13" s="5">
        <f t="shared" si="2"/>
        <v>5.3378653062205541E-6</v>
      </c>
    </row>
    <row r="14" spans="1:10" x14ac:dyDescent="0.25">
      <c r="A14" t="s">
        <v>27</v>
      </c>
      <c r="B14">
        <v>1</v>
      </c>
      <c r="C14">
        <v>6</v>
      </c>
      <c r="D14">
        <v>10</v>
      </c>
      <c r="E14">
        <v>94045</v>
      </c>
      <c r="F14">
        <v>2</v>
      </c>
      <c r="G14">
        <v>2.9180561248551431</v>
      </c>
      <c r="H14" s="4">
        <f t="shared" si="0"/>
        <v>2.0670523491937562E-6</v>
      </c>
      <c r="I14" s="5">
        <f t="shared" si="1"/>
        <v>4.1341046983875123E-6</v>
      </c>
      <c r="J14" s="5">
        <f t="shared" si="2"/>
        <v>2.0670523491937562E-6</v>
      </c>
    </row>
    <row r="15" spans="1:10" x14ac:dyDescent="0.25">
      <c r="A15" t="s">
        <v>27</v>
      </c>
      <c r="B15">
        <v>1</v>
      </c>
      <c r="C15">
        <v>6</v>
      </c>
      <c r="D15">
        <v>10</v>
      </c>
      <c r="E15">
        <v>94045</v>
      </c>
      <c r="F15">
        <v>3</v>
      </c>
      <c r="G15">
        <v>18.809560195152478</v>
      </c>
      <c r="H15" s="4">
        <f t="shared" si="0"/>
        <v>1.3324056812177104E-5</v>
      </c>
      <c r="I15" s="5">
        <f t="shared" si="1"/>
        <v>3.9972170436531312E-5</v>
      </c>
      <c r="J15" s="5">
        <f t="shared" si="2"/>
        <v>1.3324056812177104E-5</v>
      </c>
    </row>
    <row r="16" spans="1:10" x14ac:dyDescent="0.25">
      <c r="A16" t="s">
        <v>27</v>
      </c>
      <c r="B16">
        <v>1</v>
      </c>
      <c r="C16">
        <v>6</v>
      </c>
      <c r="D16">
        <v>10</v>
      </c>
      <c r="E16">
        <v>94045</v>
      </c>
      <c r="F16">
        <v>4</v>
      </c>
      <c r="G16">
        <v>7.3532576746925429</v>
      </c>
      <c r="H16" s="4">
        <f t="shared" si="0"/>
        <v>5.2087992486624177E-6</v>
      </c>
      <c r="I16" s="5">
        <f t="shared" si="1"/>
        <v>2.0835196994649671E-5</v>
      </c>
      <c r="J16" s="5">
        <f t="shared" si="2"/>
        <v>5.2087992486624177E-6</v>
      </c>
    </row>
    <row r="17" spans="1:10" x14ac:dyDescent="0.25">
      <c r="A17" t="s">
        <v>27</v>
      </c>
      <c r="B17">
        <v>1</v>
      </c>
      <c r="C17">
        <v>6</v>
      </c>
      <c r="D17">
        <v>10</v>
      </c>
      <c r="E17">
        <v>94045</v>
      </c>
      <c r="F17">
        <v>5</v>
      </c>
      <c r="G17">
        <v>20.66498264878242</v>
      </c>
      <c r="H17" s="4">
        <f t="shared" si="0"/>
        <v>1.4638375378175557E-5</v>
      </c>
      <c r="I17" s="5">
        <f t="shared" si="1"/>
        <v>7.3191876890877792E-5</v>
      </c>
      <c r="J17" s="5">
        <f t="shared" si="2"/>
        <v>1.4638375378175557E-5</v>
      </c>
    </row>
    <row r="18" spans="1:10" x14ac:dyDescent="0.25">
      <c r="A18" t="s">
        <v>27</v>
      </c>
      <c r="B18">
        <v>1</v>
      </c>
      <c r="C18">
        <v>6</v>
      </c>
      <c r="D18">
        <v>10</v>
      </c>
      <c r="E18">
        <v>94045</v>
      </c>
      <c r="F18">
        <v>6</v>
      </c>
      <c r="G18">
        <v>874.96015744123338</v>
      </c>
      <c r="H18" s="4">
        <f t="shared" si="0"/>
        <v>6.1979220806783529E-4</v>
      </c>
      <c r="I18" s="5">
        <f t="shared" si="1"/>
        <v>3.718753248407012E-3</v>
      </c>
      <c r="J18" s="5">
        <f t="shared" si="2"/>
        <v>6.1979220806783529E-4</v>
      </c>
    </row>
    <row r="19" spans="1:10" x14ac:dyDescent="0.25">
      <c r="A19" t="s">
        <v>27</v>
      </c>
      <c r="B19">
        <v>1</v>
      </c>
      <c r="C19">
        <v>6</v>
      </c>
      <c r="D19">
        <v>10</v>
      </c>
      <c r="E19">
        <v>94045</v>
      </c>
      <c r="F19">
        <v>7</v>
      </c>
      <c r="G19">
        <v>519684.99329772568</v>
      </c>
      <c r="H19" s="4">
        <f t="shared" si="0"/>
        <v>0.36812728757577651</v>
      </c>
      <c r="I19" s="5">
        <f t="shared" si="1"/>
        <v>2.5768910130304357</v>
      </c>
      <c r="J19" s="5">
        <f t="shared" si="2"/>
        <v>0.36812728757577651</v>
      </c>
    </row>
    <row r="20" spans="1:10" x14ac:dyDescent="0.25">
      <c r="A20" t="s">
        <v>27</v>
      </c>
      <c r="B20">
        <v>1</v>
      </c>
      <c r="C20">
        <v>6</v>
      </c>
      <c r="D20">
        <v>10</v>
      </c>
      <c r="E20">
        <v>94045</v>
      </c>
      <c r="F20">
        <v>8</v>
      </c>
      <c r="G20">
        <v>891072.67531533784</v>
      </c>
      <c r="H20" s="4">
        <f t="shared" si="0"/>
        <v>0.63120577124073263</v>
      </c>
      <c r="I20" s="5">
        <f t="shared" si="1"/>
        <v>5.049646169925861</v>
      </c>
      <c r="J20" s="5">
        <f t="shared" si="2"/>
        <v>0.63120577124073263</v>
      </c>
    </row>
    <row r="21" spans="1:10" x14ac:dyDescent="0.25">
      <c r="A21" t="s">
        <v>28</v>
      </c>
      <c r="B21">
        <v>1</v>
      </c>
      <c r="C21">
        <v>2</v>
      </c>
      <c r="D21">
        <v>4</v>
      </c>
      <c r="E21">
        <v>0</v>
      </c>
      <c r="F21">
        <v>0</v>
      </c>
      <c r="G21">
        <v>882426.87709423737</v>
      </c>
      <c r="H21" s="4">
        <f t="shared" si="0"/>
        <v>0.62508137994772139</v>
      </c>
      <c r="I21" s="5">
        <f t="shared" si="1"/>
        <v>0</v>
      </c>
      <c r="J21" s="5">
        <f t="shared" si="2"/>
        <v>0</v>
      </c>
    </row>
    <row r="22" spans="1:10" x14ac:dyDescent="0.25">
      <c r="A22" t="s">
        <v>28</v>
      </c>
      <c r="B22">
        <v>1</v>
      </c>
      <c r="C22">
        <v>2</v>
      </c>
      <c r="D22">
        <v>4</v>
      </c>
      <c r="E22">
        <v>0</v>
      </c>
      <c r="F22">
        <v>1</v>
      </c>
      <c r="G22">
        <v>529272.31184663135</v>
      </c>
      <c r="H22" s="4">
        <f t="shared" si="0"/>
        <v>0.3749186200522785</v>
      </c>
      <c r="I22" s="5">
        <f t="shared" si="1"/>
        <v>0.3749186200522785</v>
      </c>
      <c r="J22" s="5">
        <f t="shared" si="2"/>
        <v>0.3749186200522785</v>
      </c>
    </row>
    <row r="23" spans="1:10" x14ac:dyDescent="0.25">
      <c r="A23" t="s">
        <v>28</v>
      </c>
      <c r="B23">
        <v>1</v>
      </c>
      <c r="C23">
        <v>2</v>
      </c>
      <c r="D23">
        <v>4</v>
      </c>
      <c r="E23">
        <v>0</v>
      </c>
      <c r="F23">
        <v>2</v>
      </c>
      <c r="G23">
        <v>0</v>
      </c>
      <c r="H23" s="4">
        <f t="shared" si="0"/>
        <v>0</v>
      </c>
      <c r="I23" s="5">
        <f t="shared" si="1"/>
        <v>0</v>
      </c>
      <c r="J23" s="5">
        <f t="shared" si="2"/>
        <v>0</v>
      </c>
    </row>
    <row r="24" spans="1:10" x14ac:dyDescent="0.25">
      <c r="A24" t="s">
        <v>28</v>
      </c>
      <c r="B24">
        <v>1</v>
      </c>
      <c r="C24">
        <v>2</v>
      </c>
      <c r="D24">
        <v>4</v>
      </c>
      <c r="E24">
        <v>0</v>
      </c>
      <c r="F24">
        <v>3</v>
      </c>
      <c r="G24">
        <v>0</v>
      </c>
      <c r="H24" s="4">
        <f t="shared" si="0"/>
        <v>0</v>
      </c>
      <c r="I24" s="5">
        <f t="shared" si="1"/>
        <v>0</v>
      </c>
      <c r="J24" s="5">
        <f t="shared" si="2"/>
        <v>0</v>
      </c>
    </row>
    <row r="25" spans="1:10" x14ac:dyDescent="0.25">
      <c r="A25" t="s">
        <v>28</v>
      </c>
      <c r="B25">
        <v>1</v>
      </c>
      <c r="C25">
        <v>2</v>
      </c>
      <c r="D25">
        <v>4</v>
      </c>
      <c r="E25">
        <v>0</v>
      </c>
      <c r="F25">
        <v>4</v>
      </c>
      <c r="G25">
        <v>0</v>
      </c>
      <c r="H25" s="4">
        <f t="shared" si="0"/>
        <v>0</v>
      </c>
      <c r="I25" s="5">
        <f t="shared" si="1"/>
        <v>0</v>
      </c>
      <c r="J25" s="5">
        <f t="shared" si="2"/>
        <v>0</v>
      </c>
    </row>
    <row r="26" spans="1:10" x14ac:dyDescent="0.25">
      <c r="A26" t="s">
        <v>28</v>
      </c>
      <c r="B26">
        <v>1</v>
      </c>
      <c r="C26">
        <v>2</v>
      </c>
      <c r="D26">
        <v>4</v>
      </c>
      <c r="E26">
        <v>0</v>
      </c>
      <c r="F26">
        <v>5</v>
      </c>
      <c r="G26">
        <v>0</v>
      </c>
      <c r="H26" s="4">
        <f t="shared" si="0"/>
        <v>0</v>
      </c>
      <c r="I26" s="5">
        <f t="shared" si="1"/>
        <v>0</v>
      </c>
      <c r="J26" s="5">
        <f t="shared" si="2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0" width="17" customWidth="1"/>
  </cols>
  <sheetData>
    <row r="1" spans="1:10" x14ac:dyDescent="0.25">
      <c r="A1" t="s">
        <v>12</v>
      </c>
      <c r="B1" t="s">
        <v>29</v>
      </c>
    </row>
    <row r="2" spans="1:10" x14ac:dyDescent="0.25">
      <c r="A2" t="s">
        <v>14</v>
      </c>
      <c r="B2">
        <v>1043673.865262107</v>
      </c>
    </row>
    <row r="3" spans="1:10" x14ac:dyDescent="0.25">
      <c r="A3" t="s">
        <v>15</v>
      </c>
      <c r="B3">
        <v>42</v>
      </c>
    </row>
    <row r="5" spans="1:10" x14ac:dyDescent="0.2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</row>
    <row r="6" spans="1:10" x14ac:dyDescent="0.25">
      <c r="A6" t="s">
        <v>26</v>
      </c>
      <c r="B6">
        <v>1</v>
      </c>
      <c r="C6">
        <v>2</v>
      </c>
      <c r="D6">
        <v>4</v>
      </c>
      <c r="E6">
        <v>0</v>
      </c>
      <c r="F6">
        <v>0</v>
      </c>
      <c r="G6">
        <v>521701.05768890638</v>
      </c>
      <c r="H6" s="4">
        <f t="shared" ref="H6:H26" si="0">G6/$B$2</f>
        <v>0.4998698109182671</v>
      </c>
      <c r="I6" s="5">
        <f t="shared" ref="I6:I26" si="1">F6*H6</f>
        <v>0</v>
      </c>
      <c r="J6" s="5">
        <f t="shared" ref="J6:J26" si="2">MIN(F6,B6)*H6</f>
        <v>0</v>
      </c>
    </row>
    <row r="7" spans="1:10" x14ac:dyDescent="0.25">
      <c r="A7" t="s">
        <v>26</v>
      </c>
      <c r="B7">
        <v>1</v>
      </c>
      <c r="C7">
        <v>2</v>
      </c>
      <c r="D7">
        <v>4</v>
      </c>
      <c r="E7">
        <v>0</v>
      </c>
      <c r="F7">
        <v>1</v>
      </c>
      <c r="G7">
        <v>521972.80757320061</v>
      </c>
      <c r="H7" s="4">
        <f t="shared" si="0"/>
        <v>0.5001301890817329</v>
      </c>
      <c r="I7" s="5">
        <f t="shared" si="1"/>
        <v>0.5001301890817329</v>
      </c>
      <c r="J7" s="5">
        <f t="shared" si="2"/>
        <v>0.5001301890817329</v>
      </c>
    </row>
    <row r="8" spans="1:10" x14ac:dyDescent="0.25">
      <c r="A8" t="s">
        <v>26</v>
      </c>
      <c r="B8">
        <v>1</v>
      </c>
      <c r="C8">
        <v>2</v>
      </c>
      <c r="D8">
        <v>4</v>
      </c>
      <c r="E8">
        <v>0</v>
      </c>
      <c r="F8">
        <v>2</v>
      </c>
      <c r="G8">
        <v>0</v>
      </c>
      <c r="H8" s="4">
        <f t="shared" si="0"/>
        <v>0</v>
      </c>
      <c r="I8" s="5">
        <f t="shared" si="1"/>
        <v>0</v>
      </c>
      <c r="J8" s="5">
        <f t="shared" si="2"/>
        <v>0</v>
      </c>
    </row>
    <row r="9" spans="1:10" x14ac:dyDescent="0.25">
      <c r="A9" t="s">
        <v>26</v>
      </c>
      <c r="B9">
        <v>1</v>
      </c>
      <c r="C9">
        <v>2</v>
      </c>
      <c r="D9">
        <v>4</v>
      </c>
      <c r="E9">
        <v>0</v>
      </c>
      <c r="F9">
        <v>3</v>
      </c>
      <c r="G9">
        <v>0</v>
      </c>
      <c r="H9" s="4">
        <f t="shared" si="0"/>
        <v>0</v>
      </c>
      <c r="I9" s="5">
        <f t="shared" si="1"/>
        <v>0</v>
      </c>
      <c r="J9" s="5">
        <f t="shared" si="2"/>
        <v>0</v>
      </c>
    </row>
    <row r="10" spans="1:10" x14ac:dyDescent="0.25">
      <c r="A10" t="s">
        <v>26</v>
      </c>
      <c r="B10">
        <v>1</v>
      </c>
      <c r="C10">
        <v>2</v>
      </c>
      <c r="D10">
        <v>4</v>
      </c>
      <c r="E10">
        <v>0</v>
      </c>
      <c r="F10">
        <v>4</v>
      </c>
      <c r="G10">
        <v>0</v>
      </c>
      <c r="H10" s="4">
        <f t="shared" si="0"/>
        <v>0</v>
      </c>
      <c r="I10" s="5">
        <f t="shared" si="1"/>
        <v>0</v>
      </c>
      <c r="J10" s="5">
        <f t="shared" si="2"/>
        <v>0</v>
      </c>
    </row>
    <row r="11" spans="1:10" x14ac:dyDescent="0.25">
      <c r="A11" t="s">
        <v>26</v>
      </c>
      <c r="B11">
        <v>1</v>
      </c>
      <c r="C11">
        <v>2</v>
      </c>
      <c r="D11">
        <v>4</v>
      </c>
      <c r="E11">
        <v>0</v>
      </c>
      <c r="F11">
        <v>5</v>
      </c>
      <c r="G11">
        <v>0</v>
      </c>
      <c r="H11" s="4">
        <f t="shared" si="0"/>
        <v>0</v>
      </c>
      <c r="I11" s="5">
        <f t="shared" si="1"/>
        <v>0</v>
      </c>
      <c r="J11" s="5">
        <f t="shared" si="2"/>
        <v>0</v>
      </c>
    </row>
    <row r="12" spans="1:10" x14ac:dyDescent="0.25">
      <c r="A12" t="s">
        <v>27</v>
      </c>
      <c r="B12">
        <v>2</v>
      </c>
      <c r="C12">
        <v>6</v>
      </c>
      <c r="D12">
        <v>10</v>
      </c>
      <c r="E12">
        <v>12</v>
      </c>
      <c r="F12">
        <v>0</v>
      </c>
      <c r="G12">
        <v>4565.110623274697</v>
      </c>
      <c r="H12" s="4">
        <f t="shared" si="0"/>
        <v>4.3740777413528702E-3</v>
      </c>
      <c r="I12" s="5">
        <f t="shared" si="1"/>
        <v>0</v>
      </c>
      <c r="J12" s="5">
        <f t="shared" si="2"/>
        <v>0</v>
      </c>
    </row>
    <row r="13" spans="1:10" x14ac:dyDescent="0.25">
      <c r="A13" t="s">
        <v>27</v>
      </c>
      <c r="B13">
        <v>2</v>
      </c>
      <c r="C13">
        <v>6</v>
      </c>
      <c r="D13">
        <v>10</v>
      </c>
      <c r="E13">
        <v>12</v>
      </c>
      <c r="F13">
        <v>1</v>
      </c>
      <c r="G13">
        <v>339527.26499551442</v>
      </c>
      <c r="H13" s="4">
        <f t="shared" si="0"/>
        <v>0.3253193131460142</v>
      </c>
      <c r="I13" s="5">
        <f t="shared" si="1"/>
        <v>0.3253193131460142</v>
      </c>
      <c r="J13" s="5">
        <f t="shared" si="2"/>
        <v>0.3253193131460142</v>
      </c>
    </row>
    <row r="14" spans="1:10" x14ac:dyDescent="0.25">
      <c r="A14" t="s">
        <v>27</v>
      </c>
      <c r="B14">
        <v>2</v>
      </c>
      <c r="C14">
        <v>6</v>
      </c>
      <c r="D14">
        <v>10</v>
      </c>
      <c r="E14">
        <v>12</v>
      </c>
      <c r="F14">
        <v>2</v>
      </c>
      <c r="G14">
        <v>425125.01985465869</v>
      </c>
      <c r="H14" s="4">
        <f t="shared" si="0"/>
        <v>0.40733512067765854</v>
      </c>
      <c r="I14" s="5">
        <f t="shared" si="1"/>
        <v>0.81467024135531707</v>
      </c>
      <c r="J14" s="5">
        <f t="shared" si="2"/>
        <v>0.81467024135531707</v>
      </c>
    </row>
    <row r="15" spans="1:10" x14ac:dyDescent="0.25">
      <c r="A15" t="s">
        <v>27</v>
      </c>
      <c r="B15">
        <v>2</v>
      </c>
      <c r="C15">
        <v>6</v>
      </c>
      <c r="D15">
        <v>10</v>
      </c>
      <c r="E15">
        <v>12</v>
      </c>
      <c r="F15">
        <v>3</v>
      </c>
      <c r="G15">
        <v>192933.28479270471</v>
      </c>
      <c r="H15" s="4">
        <f t="shared" si="0"/>
        <v>0.18485974518893569</v>
      </c>
      <c r="I15" s="5">
        <f t="shared" si="1"/>
        <v>0.5545792355668071</v>
      </c>
      <c r="J15" s="5">
        <f t="shared" si="2"/>
        <v>0.36971949037787138</v>
      </c>
    </row>
    <row r="16" spans="1:10" x14ac:dyDescent="0.25">
      <c r="A16" t="s">
        <v>27</v>
      </c>
      <c r="B16">
        <v>2</v>
      </c>
      <c r="C16">
        <v>6</v>
      </c>
      <c r="D16">
        <v>10</v>
      </c>
      <c r="E16">
        <v>12</v>
      </c>
      <c r="F16">
        <v>4</v>
      </c>
      <c r="G16">
        <v>57952.003493355907</v>
      </c>
      <c r="H16" s="4">
        <f t="shared" si="0"/>
        <v>5.5526927924751578E-2</v>
      </c>
      <c r="I16" s="5">
        <f t="shared" si="1"/>
        <v>0.22210771169900631</v>
      </c>
      <c r="J16" s="5">
        <f t="shared" si="2"/>
        <v>0.11105385584950316</v>
      </c>
    </row>
    <row r="17" spans="1:10" x14ac:dyDescent="0.25">
      <c r="A17" t="s">
        <v>27</v>
      </c>
      <c r="B17">
        <v>2</v>
      </c>
      <c r="C17">
        <v>6</v>
      </c>
      <c r="D17">
        <v>10</v>
      </c>
      <c r="E17">
        <v>12</v>
      </c>
      <c r="F17">
        <v>5</v>
      </c>
      <c r="G17">
        <v>17024.755451585948</v>
      </c>
      <c r="H17" s="4">
        <f t="shared" si="0"/>
        <v>1.6312332825647955E-2</v>
      </c>
      <c r="I17" s="5">
        <f t="shared" si="1"/>
        <v>8.1561664128239772E-2</v>
      </c>
      <c r="J17" s="5">
        <f t="shared" si="2"/>
        <v>3.262466565129591E-2</v>
      </c>
    </row>
    <row r="18" spans="1:10" x14ac:dyDescent="0.25">
      <c r="A18" t="s">
        <v>27</v>
      </c>
      <c r="B18">
        <v>2</v>
      </c>
      <c r="C18">
        <v>6</v>
      </c>
      <c r="D18">
        <v>10</v>
      </c>
      <c r="E18">
        <v>12</v>
      </c>
      <c r="F18">
        <v>6</v>
      </c>
      <c r="G18">
        <v>5082.5519187682576</v>
      </c>
      <c r="H18" s="4">
        <f t="shared" si="0"/>
        <v>4.8698660452629345E-3</v>
      </c>
      <c r="I18" s="5">
        <f t="shared" si="1"/>
        <v>2.9219196271577607E-2</v>
      </c>
      <c r="J18" s="5">
        <f t="shared" si="2"/>
        <v>9.739732090525869E-3</v>
      </c>
    </row>
    <row r="19" spans="1:10" x14ac:dyDescent="0.25">
      <c r="A19" t="s">
        <v>27</v>
      </c>
      <c r="B19">
        <v>2</v>
      </c>
      <c r="C19">
        <v>6</v>
      </c>
      <c r="D19">
        <v>10</v>
      </c>
      <c r="E19">
        <v>12</v>
      </c>
      <c r="F19">
        <v>7</v>
      </c>
      <c r="G19">
        <v>1262.4668326409701</v>
      </c>
      <c r="H19" s="4">
        <f t="shared" si="0"/>
        <v>1.2096372963444051E-3</v>
      </c>
      <c r="I19" s="5">
        <f t="shared" si="1"/>
        <v>8.4674610744108359E-3</v>
      </c>
      <c r="J19" s="5">
        <f t="shared" si="2"/>
        <v>2.4192745926888103E-3</v>
      </c>
    </row>
    <row r="20" spans="1:10" x14ac:dyDescent="0.25">
      <c r="A20" t="s">
        <v>27</v>
      </c>
      <c r="B20">
        <v>2</v>
      </c>
      <c r="C20">
        <v>6</v>
      </c>
      <c r="D20">
        <v>10</v>
      </c>
      <c r="E20">
        <v>12</v>
      </c>
      <c r="F20">
        <v>8</v>
      </c>
      <c r="G20">
        <v>201.40729960333559</v>
      </c>
      <c r="H20" s="4">
        <f t="shared" si="0"/>
        <v>1.9297915403175724E-4</v>
      </c>
      <c r="I20" s="5">
        <f t="shared" si="1"/>
        <v>1.5438332322540579E-3</v>
      </c>
      <c r="J20" s="5">
        <f t="shared" si="2"/>
        <v>3.8595830806351447E-4</v>
      </c>
    </row>
    <row r="21" spans="1:10" x14ac:dyDescent="0.25">
      <c r="A21" t="s">
        <v>28</v>
      </c>
      <c r="B21">
        <v>1</v>
      </c>
      <c r="C21">
        <v>2</v>
      </c>
      <c r="D21">
        <v>4</v>
      </c>
      <c r="E21">
        <v>0</v>
      </c>
      <c r="F21">
        <v>0</v>
      </c>
      <c r="G21">
        <v>391448.92155455571</v>
      </c>
      <c r="H21" s="4">
        <f t="shared" si="0"/>
        <v>0.37506824170235181</v>
      </c>
      <c r="I21" s="5">
        <f t="shared" si="1"/>
        <v>0</v>
      </c>
      <c r="J21" s="5">
        <f t="shared" si="2"/>
        <v>0</v>
      </c>
    </row>
    <row r="22" spans="1:10" x14ac:dyDescent="0.25">
      <c r="A22" t="s">
        <v>28</v>
      </c>
      <c r="B22">
        <v>1</v>
      </c>
      <c r="C22">
        <v>2</v>
      </c>
      <c r="D22">
        <v>4</v>
      </c>
      <c r="E22">
        <v>0</v>
      </c>
      <c r="F22">
        <v>1</v>
      </c>
      <c r="G22">
        <v>580006.86399942718</v>
      </c>
      <c r="H22" s="4">
        <f t="shared" si="0"/>
        <v>0.55573573632962914</v>
      </c>
      <c r="I22" s="5">
        <f t="shared" si="1"/>
        <v>0.55573573632962914</v>
      </c>
      <c r="J22" s="5">
        <f t="shared" si="2"/>
        <v>0.55573573632962914</v>
      </c>
    </row>
    <row r="23" spans="1:10" x14ac:dyDescent="0.25">
      <c r="A23" t="s">
        <v>28</v>
      </c>
      <c r="B23">
        <v>1</v>
      </c>
      <c r="C23">
        <v>2</v>
      </c>
      <c r="D23">
        <v>4</v>
      </c>
      <c r="E23">
        <v>0</v>
      </c>
      <c r="F23">
        <v>2</v>
      </c>
      <c r="G23">
        <v>72195.449454807764</v>
      </c>
      <c r="H23" s="4">
        <f t="shared" si="0"/>
        <v>6.9174338706542854E-2</v>
      </c>
      <c r="I23" s="5">
        <f t="shared" si="1"/>
        <v>0.13834867741308571</v>
      </c>
      <c r="J23" s="5">
        <f t="shared" si="2"/>
        <v>6.9174338706542854E-2</v>
      </c>
    </row>
    <row r="24" spans="1:10" x14ac:dyDescent="0.25">
      <c r="A24" t="s">
        <v>28</v>
      </c>
      <c r="B24">
        <v>1</v>
      </c>
      <c r="C24">
        <v>2</v>
      </c>
      <c r="D24">
        <v>4</v>
      </c>
      <c r="E24">
        <v>0</v>
      </c>
      <c r="F24">
        <v>3</v>
      </c>
      <c r="G24">
        <v>22.630253316405291</v>
      </c>
      <c r="H24" s="4">
        <f t="shared" si="0"/>
        <v>2.1683261476248577E-5</v>
      </c>
      <c r="I24" s="5">
        <f t="shared" si="1"/>
        <v>6.5049784428745735E-5</v>
      </c>
      <c r="J24" s="5">
        <f t="shared" si="2"/>
        <v>2.1683261476248577E-5</v>
      </c>
    </row>
    <row r="25" spans="1:10" x14ac:dyDescent="0.25">
      <c r="A25" t="s">
        <v>28</v>
      </c>
      <c r="B25">
        <v>1</v>
      </c>
      <c r="C25">
        <v>2</v>
      </c>
      <c r="D25">
        <v>4</v>
      </c>
      <c r="E25">
        <v>0</v>
      </c>
      <c r="F25">
        <v>4</v>
      </c>
      <c r="G25">
        <v>0</v>
      </c>
      <c r="H25" s="4">
        <f t="shared" si="0"/>
        <v>0</v>
      </c>
      <c r="I25" s="5">
        <f t="shared" si="1"/>
        <v>0</v>
      </c>
      <c r="J25" s="5">
        <f t="shared" si="2"/>
        <v>0</v>
      </c>
    </row>
    <row r="26" spans="1:10" x14ac:dyDescent="0.25">
      <c r="A26" t="s">
        <v>28</v>
      </c>
      <c r="B26">
        <v>1</v>
      </c>
      <c r="C26">
        <v>2</v>
      </c>
      <c r="D26">
        <v>4</v>
      </c>
      <c r="E26">
        <v>0</v>
      </c>
      <c r="F26">
        <v>5</v>
      </c>
      <c r="G26">
        <v>0</v>
      </c>
      <c r="H26" s="4">
        <f t="shared" si="0"/>
        <v>0</v>
      </c>
      <c r="I26" s="5">
        <f t="shared" si="1"/>
        <v>0</v>
      </c>
      <c r="J26" s="5">
        <f t="shared" si="2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7" width="17" customWidth="1"/>
  </cols>
  <sheetData>
    <row r="1" spans="1:17" ht="30" x14ac:dyDescent="0.25">
      <c r="A1" s="3" t="s">
        <v>12</v>
      </c>
      <c r="B1" s="3" t="s">
        <v>16</v>
      </c>
      <c r="C1" s="3" t="s">
        <v>17</v>
      </c>
      <c r="D1" s="3" t="s">
        <v>14</v>
      </c>
      <c r="E1" s="3" t="s">
        <v>18</v>
      </c>
      <c r="F1" s="3" t="s">
        <v>19</v>
      </c>
      <c r="G1" s="3" t="s">
        <v>20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</row>
    <row r="2" spans="1:17" x14ac:dyDescent="0.25">
      <c r="A2" s="5" t="s">
        <v>13</v>
      </c>
      <c r="B2" s="5" t="s">
        <v>26</v>
      </c>
      <c r="C2" s="5">
        <f>Estados_inicial!B6</f>
        <v>1</v>
      </c>
      <c r="D2" s="5">
        <f>Estados_inicial!$B$2</f>
        <v>1411699.1889408689</v>
      </c>
      <c r="E2" s="5">
        <f>Estados_inicial!C6</f>
        <v>2</v>
      </c>
      <c r="F2" s="5">
        <f>Estados_inicial!D6</f>
        <v>4</v>
      </c>
      <c r="G2" s="5">
        <f>Estados_inicial!E6</f>
        <v>0</v>
      </c>
      <c r="H2" s="5">
        <f>SUM(Estados_inicial!H6:H11)</f>
        <v>0.99999999999999989</v>
      </c>
      <c r="I2" s="5">
        <f>SUM(Estados_inicial!I6:I11)</f>
        <v>0.50041811032210926</v>
      </c>
      <c r="J2" s="5">
        <f>SUM(Estados_inicial!J6:J11)</f>
        <v>0.50041811032210926</v>
      </c>
      <c r="K2" s="6">
        <f t="shared" ref="K2:K7" si="0">J2/C2</f>
        <v>0.50041811032210926</v>
      </c>
      <c r="L2" s="5">
        <f t="shared" ref="L2:L7" si="1">(E2+F2)/2</f>
        <v>3</v>
      </c>
      <c r="M2" s="5">
        <f t="shared" ref="M2:M7" si="2">1/L2</f>
        <v>0.33333333333333331</v>
      </c>
      <c r="N2" s="5">
        <f t="shared" ref="N2:N7" si="3">M2*J2</f>
        <v>0.16680603677403641</v>
      </c>
      <c r="O2" s="5">
        <f t="shared" ref="O2:O7" si="4">60*N2</f>
        <v>10.008362206442184</v>
      </c>
      <c r="P2" s="5">
        <f t="shared" ref="P2:P7" si="5">IF(N2&gt;0,I2/N2,"")</f>
        <v>3</v>
      </c>
      <c r="Q2" s="5">
        <f t="shared" ref="Q2:Q7" si="6">60*G2/D2</f>
        <v>0</v>
      </c>
    </row>
    <row r="3" spans="1:17" x14ac:dyDescent="0.25">
      <c r="A3" s="5" t="s">
        <v>13</v>
      </c>
      <c r="B3" s="5" t="s">
        <v>27</v>
      </c>
      <c r="C3" s="5">
        <f>Estados_inicial!B12</f>
        <v>1</v>
      </c>
      <c r="D3" s="5">
        <f>Estados_inicial!$B$2</f>
        <v>1411699.1889408689</v>
      </c>
      <c r="E3" s="5">
        <f>Estados_inicial!C12</f>
        <v>6</v>
      </c>
      <c r="F3" s="5">
        <f>Estados_inicial!D12</f>
        <v>10</v>
      </c>
      <c r="G3" s="5">
        <f>Estados_inicial!E12</f>
        <v>94045</v>
      </c>
      <c r="H3" s="5">
        <f>SUM(Estados_inicial!H12:H20)</f>
        <v>0.99999999999999978</v>
      </c>
      <c r="I3" s="5">
        <f>SUM(Estados_inicial!I12:I20)</f>
        <v>7.6303994074190307</v>
      </c>
      <c r="J3" s="5">
        <f>SUM(Estados_inicial!J12:J20)</f>
        <v>0.99999342717367146</v>
      </c>
      <c r="K3" s="6">
        <f t="shared" si="0"/>
        <v>0.99999342717367146</v>
      </c>
      <c r="L3" s="5">
        <f t="shared" si="1"/>
        <v>8</v>
      </c>
      <c r="M3" s="5">
        <f t="shared" si="2"/>
        <v>0.125</v>
      </c>
      <c r="N3" s="5">
        <f t="shared" si="3"/>
        <v>0.12499917839670893</v>
      </c>
      <c r="O3" s="5">
        <f t="shared" si="4"/>
        <v>7.4999507038025364</v>
      </c>
      <c r="P3" s="5">
        <f t="shared" si="5"/>
        <v>61.043596488310435</v>
      </c>
      <c r="Q3" s="5">
        <f t="shared" si="6"/>
        <v>3.9970979966585167</v>
      </c>
    </row>
    <row r="4" spans="1:17" x14ac:dyDescent="0.25">
      <c r="A4" s="5" t="s">
        <v>13</v>
      </c>
      <c r="B4" s="5" t="s">
        <v>28</v>
      </c>
      <c r="C4" s="5">
        <f>Estados_inicial!B21</f>
        <v>1</v>
      </c>
      <c r="D4" s="5">
        <f>Estados_inicial!$B$2</f>
        <v>1411699.1889408689</v>
      </c>
      <c r="E4" s="5">
        <f>Estados_inicial!C21</f>
        <v>2</v>
      </c>
      <c r="F4" s="5">
        <f>Estados_inicial!D21</f>
        <v>4</v>
      </c>
      <c r="G4" s="5">
        <f>Estados_inicial!E21</f>
        <v>0</v>
      </c>
      <c r="H4" s="5">
        <f>SUM(Estados_inicial!H21:H26)</f>
        <v>0.99999999999999989</v>
      </c>
      <c r="I4" s="5">
        <f>SUM(Estados_inicial!I21:I26)</f>
        <v>0.3749186200522785</v>
      </c>
      <c r="J4" s="5">
        <f>SUM(Estados_inicial!J21:J26)</f>
        <v>0.3749186200522785</v>
      </c>
      <c r="K4" s="6">
        <f t="shared" si="0"/>
        <v>0.3749186200522785</v>
      </c>
      <c r="L4" s="5">
        <f t="shared" si="1"/>
        <v>3</v>
      </c>
      <c r="M4" s="5">
        <f t="shared" si="2"/>
        <v>0.33333333333333331</v>
      </c>
      <c r="N4" s="5">
        <f t="shared" si="3"/>
        <v>0.12497287335075949</v>
      </c>
      <c r="O4" s="5">
        <f t="shared" si="4"/>
        <v>7.498372401045569</v>
      </c>
      <c r="P4" s="5">
        <f t="shared" si="5"/>
        <v>3</v>
      </c>
      <c r="Q4" s="5">
        <f t="shared" si="6"/>
        <v>0</v>
      </c>
    </row>
    <row r="5" spans="1:17" x14ac:dyDescent="0.25">
      <c r="A5" s="5" t="s">
        <v>29</v>
      </c>
      <c r="B5" s="5" t="s">
        <v>26</v>
      </c>
      <c r="C5" s="5">
        <f>Estados_melhorado!B6</f>
        <v>1</v>
      </c>
      <c r="D5" s="5">
        <f>Estados_melhorado!$B$2</f>
        <v>1043673.865262107</v>
      </c>
      <c r="E5" s="5">
        <f>Estados_melhorado!C6</f>
        <v>2</v>
      </c>
      <c r="F5" s="5">
        <f>Estados_melhorado!D6</f>
        <v>4</v>
      </c>
      <c r="G5" s="5">
        <f>Estados_melhorado!E6</f>
        <v>0</v>
      </c>
      <c r="H5" s="5">
        <f>SUM(Estados_melhorado!H6:H11)</f>
        <v>1</v>
      </c>
      <c r="I5" s="5">
        <f>SUM(Estados_melhorado!I6:I11)</f>
        <v>0.5001301890817329</v>
      </c>
      <c r="J5" s="5">
        <f>SUM(Estados_melhorado!J6:J11)</f>
        <v>0.5001301890817329</v>
      </c>
      <c r="K5" s="6">
        <f t="shared" si="0"/>
        <v>0.5001301890817329</v>
      </c>
      <c r="L5" s="5">
        <f t="shared" si="1"/>
        <v>3</v>
      </c>
      <c r="M5" s="5">
        <f t="shared" si="2"/>
        <v>0.33333333333333331</v>
      </c>
      <c r="N5" s="5">
        <f t="shared" si="3"/>
        <v>0.16671006302724428</v>
      </c>
      <c r="O5" s="5">
        <f t="shared" si="4"/>
        <v>10.002603781634656</v>
      </c>
      <c r="P5" s="5">
        <f t="shared" si="5"/>
        <v>3.0000000000000004</v>
      </c>
      <c r="Q5" s="5">
        <f t="shared" si="6"/>
        <v>0</v>
      </c>
    </row>
    <row r="6" spans="1:17" x14ac:dyDescent="0.25">
      <c r="A6" s="5" t="s">
        <v>29</v>
      </c>
      <c r="B6" s="5" t="s">
        <v>27</v>
      </c>
      <c r="C6" s="5">
        <f>Estados_melhorado!B12</f>
        <v>2</v>
      </c>
      <c r="D6" s="5">
        <f>Estados_melhorado!$B$2</f>
        <v>1043673.865262107</v>
      </c>
      <c r="E6" s="5">
        <f>Estados_melhorado!C12</f>
        <v>6</v>
      </c>
      <c r="F6" s="5">
        <f>Estados_melhorado!D12</f>
        <v>10</v>
      </c>
      <c r="G6" s="5">
        <f>Estados_melhorado!E12</f>
        <v>12</v>
      </c>
      <c r="H6" s="5">
        <f>SUM(Estados_melhorado!H12:H20)</f>
        <v>0.99999999999999978</v>
      </c>
      <c r="I6" s="5">
        <f>SUM(Estados_melhorado!I12:I20)</f>
        <v>2.0374686564736266</v>
      </c>
      <c r="J6" s="5">
        <f>SUM(Estados_melhorado!J12:J20)</f>
        <v>1.6659325313712796</v>
      </c>
      <c r="K6" s="6">
        <f t="shared" si="0"/>
        <v>0.83296626568563981</v>
      </c>
      <c r="L6" s="5">
        <f t="shared" si="1"/>
        <v>8</v>
      </c>
      <c r="M6" s="5">
        <f t="shared" si="2"/>
        <v>0.125</v>
      </c>
      <c r="N6" s="5">
        <f t="shared" si="3"/>
        <v>0.20824156642140995</v>
      </c>
      <c r="O6" s="5">
        <f t="shared" si="4"/>
        <v>12.494493985284597</v>
      </c>
      <c r="P6" s="5">
        <f t="shared" si="5"/>
        <v>9.7841592890752871</v>
      </c>
      <c r="Q6" s="5">
        <f t="shared" si="6"/>
        <v>6.8987068083685324E-4</v>
      </c>
    </row>
    <row r="7" spans="1:17" x14ac:dyDescent="0.25">
      <c r="A7" s="5" t="s">
        <v>29</v>
      </c>
      <c r="B7" s="5" t="s">
        <v>28</v>
      </c>
      <c r="C7" s="5">
        <f>Estados_melhorado!B21</f>
        <v>1</v>
      </c>
      <c r="D7" s="5">
        <f>Estados_melhorado!$B$2</f>
        <v>1043673.865262107</v>
      </c>
      <c r="E7" s="5">
        <f>Estados_melhorado!C21</f>
        <v>2</v>
      </c>
      <c r="F7" s="5">
        <f>Estados_melhorado!D21</f>
        <v>4</v>
      </c>
      <c r="G7" s="5">
        <f>Estados_melhorado!E21</f>
        <v>0</v>
      </c>
      <c r="H7" s="5">
        <f>SUM(Estados_melhorado!H21:H26)</f>
        <v>1.0000000000000002</v>
      </c>
      <c r="I7" s="5">
        <f>SUM(Estados_melhorado!I21:I26)</f>
        <v>0.69414946352714368</v>
      </c>
      <c r="J7" s="5">
        <f>SUM(Estados_melhorado!J21:J26)</f>
        <v>0.62493175829764824</v>
      </c>
      <c r="K7" s="6">
        <f t="shared" si="0"/>
        <v>0.62493175829764824</v>
      </c>
      <c r="L7" s="5">
        <f t="shared" si="1"/>
        <v>3</v>
      </c>
      <c r="M7" s="5">
        <f t="shared" si="2"/>
        <v>0.33333333333333331</v>
      </c>
      <c r="N7" s="5">
        <f t="shared" si="3"/>
        <v>0.20831058609921607</v>
      </c>
      <c r="O7" s="5">
        <f t="shared" si="4"/>
        <v>12.498635165952964</v>
      </c>
      <c r="P7" s="5">
        <f t="shared" si="5"/>
        <v>3.332281265804359</v>
      </c>
      <c r="Q7" s="5">
        <f t="shared" si="6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7" customWidth="1"/>
  </cols>
  <sheetData>
    <row r="1" spans="1:6" ht="30" x14ac:dyDescent="0.25">
      <c r="A1" s="3" t="s">
        <v>16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</row>
    <row r="2" spans="1:6" x14ac:dyDescent="0.25">
      <c r="A2" t="s">
        <v>26</v>
      </c>
      <c r="B2" t="s">
        <v>31</v>
      </c>
      <c r="C2" s="5">
        <f>Indices!I2</f>
        <v>0.50041811032210926</v>
      </c>
      <c r="D2" s="5">
        <f>Indices!I5</f>
        <v>0.5001301890817329</v>
      </c>
      <c r="E2" s="6">
        <f>IF(C2=0,"",(D2-C2)/C2)</f>
        <v>-5.7536135171252101E-4</v>
      </c>
      <c r="F2" t="s">
        <v>45</v>
      </c>
    </row>
    <row r="3" spans="1:6" x14ac:dyDescent="0.25">
      <c r="A3" t="s">
        <v>26</v>
      </c>
      <c r="B3" t="s">
        <v>33</v>
      </c>
      <c r="C3" s="5">
        <f>Indices!K2</f>
        <v>0.50041811032210926</v>
      </c>
      <c r="D3" s="5">
        <f>Indices!K5</f>
        <v>0.5001301890817329</v>
      </c>
      <c r="E3" s="7">
        <f>(D3-C3)*100</f>
        <v>-2.8792124037635425E-2</v>
      </c>
      <c r="F3" t="s">
        <v>46</v>
      </c>
    </row>
    <row r="4" spans="1:6" x14ac:dyDescent="0.25">
      <c r="A4" t="s">
        <v>26</v>
      </c>
      <c r="B4" t="s">
        <v>37</v>
      </c>
      <c r="C4" s="5">
        <f>Indices!O2</f>
        <v>10.008362206442184</v>
      </c>
      <c r="D4" s="5">
        <f>Indices!O5</f>
        <v>10.002603781634656</v>
      </c>
      <c r="E4" s="6">
        <f>IF(C4=0,"",(D4-C4)/C4)</f>
        <v>-5.7536135171260981E-4</v>
      </c>
      <c r="F4" t="s">
        <v>45</v>
      </c>
    </row>
    <row r="5" spans="1:6" x14ac:dyDescent="0.25">
      <c r="A5" t="s">
        <v>26</v>
      </c>
      <c r="B5" t="s">
        <v>38</v>
      </c>
      <c r="C5" s="5">
        <f>Indices!P2</f>
        <v>3</v>
      </c>
      <c r="D5" s="5">
        <f>Indices!P5</f>
        <v>3.0000000000000004</v>
      </c>
      <c r="E5" s="6">
        <f>IF(C5=0,"",(D5-C5)/C5)</f>
        <v>1.4802973661668753E-16</v>
      </c>
      <c r="F5" t="s">
        <v>45</v>
      </c>
    </row>
    <row r="6" spans="1:6" x14ac:dyDescent="0.25">
      <c r="A6" t="s">
        <v>26</v>
      </c>
      <c r="B6" t="s">
        <v>20</v>
      </c>
      <c r="C6" s="5">
        <f>Indices!G2</f>
        <v>0</v>
      </c>
      <c r="D6" s="5">
        <f>Indices!G5</f>
        <v>0</v>
      </c>
      <c r="E6" s="6" t="str">
        <f>IF(C6=0,"",(D6-C6)/C6)</f>
        <v/>
      </c>
      <c r="F6" t="s">
        <v>45</v>
      </c>
    </row>
    <row r="7" spans="1:6" x14ac:dyDescent="0.25">
      <c r="A7" t="s">
        <v>26</v>
      </c>
      <c r="B7" t="s">
        <v>39</v>
      </c>
      <c r="C7" s="5">
        <f>Indices!Q2</f>
        <v>0</v>
      </c>
      <c r="D7" s="5">
        <f>Indices!Q5</f>
        <v>0</v>
      </c>
      <c r="E7" s="6" t="str">
        <f>IF(C7=0,"",(D7-C7)/C7)</f>
        <v/>
      </c>
      <c r="F7" t="s">
        <v>45</v>
      </c>
    </row>
    <row r="8" spans="1:6" x14ac:dyDescent="0.25">
      <c r="A8" t="s">
        <v>27</v>
      </c>
      <c r="B8" t="s">
        <v>31</v>
      </c>
      <c r="C8" s="5">
        <f>Indices!I3</f>
        <v>7.6303994074190307</v>
      </c>
      <c r="D8" s="5">
        <f>Indices!I6</f>
        <v>2.0374686564736266</v>
      </c>
      <c r="E8" s="6">
        <f>IF(C8=0,"",(D8-C8)/C8)</f>
        <v>-0.73298007775417406</v>
      </c>
      <c r="F8" t="s">
        <v>45</v>
      </c>
    </row>
    <row r="9" spans="1:6" x14ac:dyDescent="0.25">
      <c r="A9" t="s">
        <v>27</v>
      </c>
      <c r="B9" t="s">
        <v>33</v>
      </c>
      <c r="C9" s="5">
        <f>Indices!K3</f>
        <v>0.99999342717367146</v>
      </c>
      <c r="D9" s="5">
        <f>Indices!K6</f>
        <v>0.83296626568563981</v>
      </c>
      <c r="E9" s="7">
        <f>(D9-C9)*100</f>
        <v>-16.702716148803166</v>
      </c>
      <c r="F9" t="s">
        <v>46</v>
      </c>
    </row>
    <row r="10" spans="1:6" x14ac:dyDescent="0.25">
      <c r="A10" t="s">
        <v>27</v>
      </c>
      <c r="B10" t="s">
        <v>37</v>
      </c>
      <c r="C10" s="5">
        <f>Indices!O3</f>
        <v>7.4999507038025364</v>
      </c>
      <c r="D10" s="5">
        <f>Indices!O6</f>
        <v>12.494493985284597</v>
      </c>
      <c r="E10" s="6">
        <f>IF(C10=0,"",(D10-C10)/C10)</f>
        <v>0.66594348132845549</v>
      </c>
      <c r="F10" t="s">
        <v>45</v>
      </c>
    </row>
    <row r="11" spans="1:6" x14ac:dyDescent="0.25">
      <c r="A11" t="s">
        <v>27</v>
      </c>
      <c r="B11" t="s">
        <v>38</v>
      </c>
      <c r="C11" s="5">
        <f>Indices!P3</f>
        <v>61.043596488310435</v>
      </c>
      <c r="D11" s="5">
        <f>Indices!P6</f>
        <v>9.7841592890752871</v>
      </c>
      <c r="E11" s="6">
        <f>IF(C11=0,"",(D11-C11)/C11)</f>
        <v>-0.83971849871347437</v>
      </c>
      <c r="F11" t="s">
        <v>45</v>
      </c>
    </row>
    <row r="12" spans="1:6" x14ac:dyDescent="0.25">
      <c r="A12" t="s">
        <v>27</v>
      </c>
      <c r="B12" t="s">
        <v>20</v>
      </c>
      <c r="C12" s="5">
        <f>Indices!G3</f>
        <v>94045</v>
      </c>
      <c r="D12" s="5">
        <f>Indices!G6</f>
        <v>12</v>
      </c>
      <c r="E12" s="6">
        <f>IF(C12=0,"",(D12-C12)/C12)</f>
        <v>-0.99987240150991552</v>
      </c>
      <c r="F12" t="s">
        <v>45</v>
      </c>
    </row>
    <row r="13" spans="1:6" x14ac:dyDescent="0.25">
      <c r="A13" t="s">
        <v>27</v>
      </c>
      <c r="B13" t="s">
        <v>39</v>
      </c>
      <c r="C13" s="5">
        <f>Indices!Q3</f>
        <v>3.9970979966585167</v>
      </c>
      <c r="D13" s="5">
        <f>Indices!Q6</f>
        <v>6.8987068083685324E-4</v>
      </c>
      <c r="E13" s="6">
        <f>IF(C13=0,"",(D13-C13)/C13)</f>
        <v>-0.99982740711350748</v>
      </c>
      <c r="F13" t="s">
        <v>45</v>
      </c>
    </row>
    <row r="14" spans="1:6" x14ac:dyDescent="0.25">
      <c r="A14" t="s">
        <v>28</v>
      </c>
      <c r="B14" t="s">
        <v>31</v>
      </c>
      <c r="C14" s="5">
        <f>Indices!I4</f>
        <v>0.3749186200522785</v>
      </c>
      <c r="D14" s="5">
        <f>Indices!I7</f>
        <v>0.69414946352714368</v>
      </c>
      <c r="E14" s="6">
        <f>IF(C14=0,"",(D14-C14)/C14)</f>
        <v>0.85146702884575798</v>
      </c>
      <c r="F14" t="s">
        <v>45</v>
      </c>
    </row>
    <row r="15" spans="1:6" x14ac:dyDescent="0.25">
      <c r="A15" t="s">
        <v>28</v>
      </c>
      <c r="B15" t="s">
        <v>33</v>
      </c>
      <c r="C15" s="5">
        <f>Indices!K4</f>
        <v>0.3749186200522785</v>
      </c>
      <c r="D15" s="5">
        <f>Indices!K7</f>
        <v>0.62493175829764824</v>
      </c>
      <c r="E15" s="7">
        <f>(D15-C15)*100</f>
        <v>25.001313824536975</v>
      </c>
      <c r="F15" t="s">
        <v>46</v>
      </c>
    </row>
    <row r="16" spans="1:6" x14ac:dyDescent="0.25">
      <c r="A16" t="s">
        <v>28</v>
      </c>
      <c r="B16" t="s">
        <v>37</v>
      </c>
      <c r="C16" s="5">
        <f>Indices!O4</f>
        <v>7.498372401045569</v>
      </c>
      <c r="D16" s="5">
        <f>Indices!O7</f>
        <v>12.498635165952964</v>
      </c>
      <c r="E16" s="6">
        <f>IF(C16=0,"",(D16-C16)/C16)</f>
        <v>0.66684641645834508</v>
      </c>
      <c r="F16" t="s">
        <v>45</v>
      </c>
    </row>
    <row r="17" spans="1:6" x14ac:dyDescent="0.25">
      <c r="A17" t="s">
        <v>28</v>
      </c>
      <c r="B17" t="s">
        <v>38</v>
      </c>
      <c r="C17" s="5">
        <f>Indices!P4</f>
        <v>3</v>
      </c>
      <c r="D17" s="5">
        <f>Indices!P7</f>
        <v>3.332281265804359</v>
      </c>
      <c r="E17" s="6">
        <f>IF(C17=0,"",(D17-C17)/C17)</f>
        <v>0.11076042193478634</v>
      </c>
      <c r="F17" t="s">
        <v>45</v>
      </c>
    </row>
    <row r="18" spans="1:6" x14ac:dyDescent="0.25">
      <c r="A18" t="s">
        <v>28</v>
      </c>
      <c r="B18" t="s">
        <v>20</v>
      </c>
      <c r="C18" s="5">
        <f>Indices!G4</f>
        <v>0</v>
      </c>
      <c r="D18" s="5">
        <f>Indices!G7</f>
        <v>0</v>
      </c>
      <c r="E18" s="6" t="str">
        <f>IF(C18=0,"",(D18-C18)/C18)</f>
        <v/>
      </c>
      <c r="F18" t="s">
        <v>45</v>
      </c>
    </row>
    <row r="19" spans="1:6" x14ac:dyDescent="0.25">
      <c r="A19" t="s">
        <v>28</v>
      </c>
      <c r="B19" t="s">
        <v>39</v>
      </c>
      <c r="C19" s="5">
        <f>Indices!Q4</f>
        <v>0</v>
      </c>
      <c r="D19" s="5">
        <f>Indices!Q7</f>
        <v>0</v>
      </c>
      <c r="E19" s="6" t="str">
        <f>IF(C19=0,"",(D19-C19)/C19)</f>
        <v/>
      </c>
      <c r="F19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1" width="17" customWidth="1"/>
  </cols>
  <sheetData>
    <row r="1" spans="1:11" x14ac:dyDescent="0.25">
      <c r="A1" s="3" t="s">
        <v>12</v>
      </c>
      <c r="B1" s="3" t="s">
        <v>15</v>
      </c>
      <c r="C1" s="3" t="s">
        <v>16</v>
      </c>
      <c r="D1" s="3" t="s">
        <v>14</v>
      </c>
      <c r="E1" s="3" t="s">
        <v>31</v>
      </c>
      <c r="F1" s="3" t="s">
        <v>32</v>
      </c>
      <c r="G1" s="3" t="s">
        <v>33</v>
      </c>
      <c r="H1" s="3" t="s">
        <v>47</v>
      </c>
      <c r="I1" s="3" t="s">
        <v>48</v>
      </c>
      <c r="J1" s="3" t="s">
        <v>49</v>
      </c>
      <c r="K1" s="3" t="s">
        <v>50</v>
      </c>
    </row>
    <row r="2" spans="1:11" x14ac:dyDescent="0.25">
      <c r="A2" t="s">
        <v>13</v>
      </c>
      <c r="B2">
        <v>42</v>
      </c>
      <c r="C2" t="s">
        <v>26</v>
      </c>
      <c r="D2">
        <v>1411699.1889408689</v>
      </c>
      <c r="E2">
        <v>0.50041811032210926</v>
      </c>
      <c r="F2">
        <v>0.50041811032210926</v>
      </c>
      <c r="G2">
        <v>0.50041811032210926</v>
      </c>
      <c r="H2">
        <v>10.008362206442181</v>
      </c>
      <c r="I2">
        <v>3</v>
      </c>
      <c r="J2">
        <v>0</v>
      </c>
      <c r="K2">
        <v>0</v>
      </c>
    </row>
    <row r="3" spans="1:11" x14ac:dyDescent="0.25">
      <c r="A3" t="s">
        <v>13</v>
      </c>
      <c r="B3">
        <v>43</v>
      </c>
      <c r="C3" t="s">
        <v>26</v>
      </c>
      <c r="D3">
        <v>1412235.4284938851</v>
      </c>
      <c r="E3">
        <v>0.49993056459884228</v>
      </c>
      <c r="F3">
        <v>0.49993056459884228</v>
      </c>
      <c r="G3">
        <v>0.49993056459884228</v>
      </c>
      <c r="H3">
        <v>9.9986112919768448</v>
      </c>
      <c r="I3">
        <v>3</v>
      </c>
      <c r="J3">
        <v>0</v>
      </c>
      <c r="K3">
        <v>0</v>
      </c>
    </row>
    <row r="4" spans="1:11" x14ac:dyDescent="0.25">
      <c r="A4" t="s">
        <v>13</v>
      </c>
      <c r="B4">
        <v>44</v>
      </c>
      <c r="C4" t="s">
        <v>26</v>
      </c>
      <c r="D4">
        <v>1411950.786146868</v>
      </c>
      <c r="E4">
        <v>0.50069691444855247</v>
      </c>
      <c r="F4">
        <v>0.50069691444855247</v>
      </c>
      <c r="G4">
        <v>0.50069691444855247</v>
      </c>
      <c r="H4">
        <v>10.013938288971049</v>
      </c>
      <c r="I4">
        <v>3</v>
      </c>
      <c r="J4">
        <v>0</v>
      </c>
      <c r="K4">
        <v>0</v>
      </c>
    </row>
    <row r="5" spans="1:11" x14ac:dyDescent="0.25">
      <c r="A5" t="s">
        <v>13</v>
      </c>
      <c r="B5">
        <v>45</v>
      </c>
      <c r="C5" t="s">
        <v>26</v>
      </c>
      <c r="D5">
        <v>1411681.1015217949</v>
      </c>
      <c r="E5">
        <v>0.49992354547184031</v>
      </c>
      <c r="F5">
        <v>0.49992354547184031</v>
      </c>
      <c r="G5">
        <v>0.49992354547184031</v>
      </c>
      <c r="H5">
        <v>9.9984709094368043</v>
      </c>
      <c r="I5">
        <v>3</v>
      </c>
      <c r="J5">
        <v>0</v>
      </c>
      <c r="K5">
        <v>0</v>
      </c>
    </row>
    <row r="6" spans="1:11" x14ac:dyDescent="0.25">
      <c r="A6" t="s">
        <v>13</v>
      </c>
      <c r="B6">
        <v>46</v>
      </c>
      <c r="C6" t="s">
        <v>26</v>
      </c>
      <c r="D6">
        <v>1411815.8141861041</v>
      </c>
      <c r="E6">
        <v>0.49998424991835039</v>
      </c>
      <c r="F6">
        <v>0.49998424991835039</v>
      </c>
      <c r="G6">
        <v>0.49998424991835039</v>
      </c>
      <c r="H6">
        <v>9.9996849983670089</v>
      </c>
      <c r="I6">
        <v>3</v>
      </c>
      <c r="J6">
        <v>0</v>
      </c>
      <c r="K6">
        <v>0</v>
      </c>
    </row>
    <row r="7" spans="1:11" x14ac:dyDescent="0.25">
      <c r="A7" t="s">
        <v>13</v>
      </c>
      <c r="B7">
        <v>47</v>
      </c>
      <c r="C7" t="s">
        <v>26</v>
      </c>
      <c r="D7">
        <v>1412032.1183956501</v>
      </c>
      <c r="E7">
        <v>0.49988986828000059</v>
      </c>
      <c r="F7">
        <v>0.49988986828000059</v>
      </c>
      <c r="G7">
        <v>0.49988986828000059</v>
      </c>
      <c r="H7">
        <v>9.997797365600011</v>
      </c>
      <c r="I7">
        <v>3</v>
      </c>
      <c r="J7">
        <v>0</v>
      </c>
      <c r="K7">
        <v>0</v>
      </c>
    </row>
    <row r="8" spans="1:11" x14ac:dyDescent="0.25">
      <c r="A8" t="s">
        <v>13</v>
      </c>
      <c r="B8">
        <v>48</v>
      </c>
      <c r="C8" t="s">
        <v>26</v>
      </c>
      <c r="D8">
        <v>1411959.2702515051</v>
      </c>
      <c r="E8">
        <v>0.50002660598499071</v>
      </c>
      <c r="F8">
        <v>0.50002660598499071</v>
      </c>
      <c r="G8">
        <v>0.50002660598499071</v>
      </c>
      <c r="H8">
        <v>10.000532119699811</v>
      </c>
      <c r="I8">
        <v>3</v>
      </c>
      <c r="J8">
        <v>0</v>
      </c>
      <c r="K8">
        <v>0</v>
      </c>
    </row>
    <row r="9" spans="1:11" x14ac:dyDescent="0.25">
      <c r="A9" t="s">
        <v>13</v>
      </c>
      <c r="B9">
        <v>49</v>
      </c>
      <c r="C9" t="s">
        <v>26</v>
      </c>
      <c r="D9">
        <v>1411882.4197596591</v>
      </c>
      <c r="E9">
        <v>0.49991618671933619</v>
      </c>
      <c r="F9">
        <v>0.49991618671933619</v>
      </c>
      <c r="G9">
        <v>0.49991618671933619</v>
      </c>
      <c r="H9">
        <v>9.9983237343867248</v>
      </c>
      <c r="I9">
        <v>3</v>
      </c>
      <c r="J9">
        <v>0</v>
      </c>
      <c r="K9">
        <v>0</v>
      </c>
    </row>
    <row r="10" spans="1:11" x14ac:dyDescent="0.25">
      <c r="A10" t="s">
        <v>13</v>
      </c>
      <c r="B10">
        <v>50</v>
      </c>
      <c r="C10" t="s">
        <v>26</v>
      </c>
      <c r="D10">
        <v>1411926.6566240699</v>
      </c>
      <c r="E10">
        <v>0.49976330110442868</v>
      </c>
      <c r="F10">
        <v>0.49976330110442868</v>
      </c>
      <c r="G10">
        <v>0.49976330110442868</v>
      </c>
      <c r="H10">
        <v>9.9952660220885736</v>
      </c>
      <c r="I10">
        <v>3</v>
      </c>
      <c r="J10">
        <v>0</v>
      </c>
      <c r="K10">
        <v>0</v>
      </c>
    </row>
    <row r="11" spans="1:11" x14ac:dyDescent="0.25">
      <c r="A11" t="s">
        <v>13</v>
      </c>
      <c r="B11">
        <v>51</v>
      </c>
      <c r="C11" t="s">
        <v>26</v>
      </c>
      <c r="D11">
        <v>1411854.454435477</v>
      </c>
      <c r="E11">
        <v>0.4998892367929697</v>
      </c>
      <c r="F11">
        <v>0.4998892367929697</v>
      </c>
      <c r="G11">
        <v>0.4998892367929697</v>
      </c>
      <c r="H11">
        <v>9.9977847358593941</v>
      </c>
      <c r="I11">
        <v>3</v>
      </c>
      <c r="J11">
        <v>0</v>
      </c>
      <c r="K11">
        <v>0</v>
      </c>
    </row>
    <row r="12" spans="1:11" x14ac:dyDescent="0.25">
      <c r="A12" t="s">
        <v>13</v>
      </c>
      <c r="B12">
        <v>42</v>
      </c>
      <c r="C12" t="s">
        <v>27</v>
      </c>
      <c r="D12">
        <v>1411699.1889408689</v>
      </c>
      <c r="E12">
        <v>7.6303994074190307</v>
      </c>
      <c r="F12">
        <v>0.99999342717367146</v>
      </c>
      <c r="G12">
        <v>0.99999342717367146</v>
      </c>
      <c r="H12">
        <v>7.4999507038025364</v>
      </c>
      <c r="I12">
        <v>61.043596488310428</v>
      </c>
      <c r="J12">
        <v>94045</v>
      </c>
      <c r="K12">
        <v>3.9970979966585172</v>
      </c>
    </row>
    <row r="13" spans="1:11" x14ac:dyDescent="0.25">
      <c r="A13" t="s">
        <v>13</v>
      </c>
      <c r="B13">
        <v>43</v>
      </c>
      <c r="C13" t="s">
        <v>27</v>
      </c>
      <c r="D13">
        <v>1412235.4284938851</v>
      </c>
      <c r="E13">
        <v>7.6300525143971552</v>
      </c>
      <c r="F13">
        <v>0.99999380996957532</v>
      </c>
      <c r="G13">
        <v>0.99999380996957532</v>
      </c>
      <c r="H13">
        <v>7.4999535747718147</v>
      </c>
      <c r="I13">
        <v>61.040797959573759</v>
      </c>
      <c r="J13">
        <v>94136</v>
      </c>
      <c r="K13">
        <v>3.999446470496514</v>
      </c>
    </row>
    <row r="14" spans="1:11" x14ac:dyDescent="0.25">
      <c r="A14" t="s">
        <v>13</v>
      </c>
      <c r="B14">
        <v>44</v>
      </c>
      <c r="C14" t="s">
        <v>27</v>
      </c>
      <c r="D14">
        <v>1411950.786146868</v>
      </c>
      <c r="E14">
        <v>7.6301438982366694</v>
      </c>
      <c r="F14">
        <v>0.99999375539725244</v>
      </c>
      <c r="G14">
        <v>0.99999375539725244</v>
      </c>
      <c r="H14">
        <v>7.4999531654793934</v>
      </c>
      <c r="I14">
        <v>61.041532366014081</v>
      </c>
      <c r="J14">
        <v>94089</v>
      </c>
      <c r="K14">
        <v>3.9982555025205988</v>
      </c>
    </row>
    <row r="15" spans="1:11" x14ac:dyDescent="0.25">
      <c r="A15" t="s">
        <v>13</v>
      </c>
      <c r="B15">
        <v>45</v>
      </c>
      <c r="C15" t="s">
        <v>27</v>
      </c>
      <c r="D15">
        <v>1411681.1015217949</v>
      </c>
      <c r="E15">
        <v>7.6302974648361914</v>
      </c>
      <c r="F15">
        <v>0.99999394781808748</v>
      </c>
      <c r="G15">
        <v>0.99999394781808748</v>
      </c>
      <c r="H15">
        <v>7.4999546086356563</v>
      </c>
      <c r="I15">
        <v>61.042749160511882</v>
      </c>
      <c r="J15">
        <v>94223</v>
      </c>
      <c r="K15">
        <v>4.004714658222488</v>
      </c>
    </row>
    <row r="16" spans="1:11" x14ac:dyDescent="0.25">
      <c r="A16" t="s">
        <v>13</v>
      </c>
      <c r="B16">
        <v>46</v>
      </c>
      <c r="C16" t="s">
        <v>27</v>
      </c>
      <c r="D16">
        <v>1411815.8141861041</v>
      </c>
      <c r="E16">
        <v>7.6301560676143048</v>
      </c>
      <c r="F16">
        <v>0.99999307520424785</v>
      </c>
      <c r="G16">
        <v>0.99999307520424785</v>
      </c>
      <c r="H16">
        <v>7.4999480640318588</v>
      </c>
      <c r="I16">
        <v>61.041671242020158</v>
      </c>
      <c r="J16">
        <v>94273</v>
      </c>
      <c r="K16">
        <v>4.006457459368268</v>
      </c>
    </row>
    <row r="17" spans="1:11" x14ac:dyDescent="0.25">
      <c r="A17" t="s">
        <v>13</v>
      </c>
      <c r="B17">
        <v>47</v>
      </c>
      <c r="C17" t="s">
        <v>27</v>
      </c>
      <c r="D17">
        <v>1412032.1183956501</v>
      </c>
      <c r="E17">
        <v>7.6300769532853669</v>
      </c>
      <c r="F17">
        <v>0.99999383605202863</v>
      </c>
      <c r="G17">
        <v>0.99999383605202863</v>
      </c>
      <c r="H17">
        <v>7.4999537703902144</v>
      </c>
      <c r="I17">
        <v>61.040991879780996</v>
      </c>
      <c r="J17">
        <v>94186</v>
      </c>
      <c r="K17">
        <v>4.002146924547894</v>
      </c>
    </row>
    <row r="18" spans="1:11" x14ac:dyDescent="0.25">
      <c r="A18" t="s">
        <v>13</v>
      </c>
      <c r="B18">
        <v>48</v>
      </c>
      <c r="C18" t="s">
        <v>27</v>
      </c>
      <c r="D18">
        <v>1411959.2702515051</v>
      </c>
      <c r="E18">
        <v>7.6308669735553796</v>
      </c>
      <c r="F18">
        <v>0.99999355766426945</v>
      </c>
      <c r="G18">
        <v>0.99999355766426945</v>
      </c>
      <c r="H18">
        <v>7.4999516824820196</v>
      </c>
      <c r="I18">
        <v>61.047329075832387</v>
      </c>
      <c r="J18">
        <v>94151</v>
      </c>
      <c r="K18">
        <v>4.0008661149225366</v>
      </c>
    </row>
    <row r="19" spans="1:11" x14ac:dyDescent="0.25">
      <c r="A19" t="s">
        <v>13</v>
      </c>
      <c r="B19">
        <v>49</v>
      </c>
      <c r="C19" t="s">
        <v>27</v>
      </c>
      <c r="D19">
        <v>1411882.4197596591</v>
      </c>
      <c r="E19">
        <v>7.6302707284758267</v>
      </c>
      <c r="F19">
        <v>0.99999370436978641</v>
      </c>
      <c r="G19">
        <v>0.99999370436978641</v>
      </c>
      <c r="H19">
        <v>7.4999527827733976</v>
      </c>
      <c r="I19">
        <v>61.042550129129523</v>
      </c>
      <c r="J19">
        <v>94081</v>
      </c>
      <c r="K19">
        <v>3.9981091350092099</v>
      </c>
    </row>
    <row r="20" spans="1:11" x14ac:dyDescent="0.25">
      <c r="A20" t="s">
        <v>13</v>
      </c>
      <c r="B20">
        <v>50</v>
      </c>
      <c r="C20" t="s">
        <v>27</v>
      </c>
      <c r="D20">
        <v>1411926.6566240699</v>
      </c>
      <c r="E20">
        <v>7.631002508034106</v>
      </c>
      <c r="F20">
        <v>0.99999362922068546</v>
      </c>
      <c r="G20">
        <v>0.99999362922068546</v>
      </c>
      <c r="H20">
        <v>7.4999522191551407</v>
      </c>
      <c r="I20">
        <v>61.048408990214028</v>
      </c>
      <c r="J20">
        <v>94005</v>
      </c>
      <c r="K20">
        <v>3.99475424133291</v>
      </c>
    </row>
    <row r="21" spans="1:11" x14ac:dyDescent="0.25">
      <c r="A21" t="s">
        <v>13</v>
      </c>
      <c r="B21">
        <v>51</v>
      </c>
      <c r="C21" t="s">
        <v>27</v>
      </c>
      <c r="D21">
        <v>1411854.454435477</v>
      </c>
      <c r="E21">
        <v>7.6299382277812473</v>
      </c>
      <c r="F21">
        <v>0.99999362603395459</v>
      </c>
      <c r="G21">
        <v>0.99999362603395459</v>
      </c>
      <c r="H21">
        <v>7.4999521952546591</v>
      </c>
      <c r="I21">
        <v>61.039894888467423</v>
      </c>
      <c r="J21">
        <v>94127</v>
      </c>
      <c r="K21">
        <v>4.0001432033291069</v>
      </c>
    </row>
    <row r="22" spans="1:11" x14ac:dyDescent="0.25">
      <c r="A22" t="s">
        <v>13</v>
      </c>
      <c r="B22">
        <v>42</v>
      </c>
      <c r="C22" t="s">
        <v>28</v>
      </c>
      <c r="D22">
        <v>1411699.1889408689</v>
      </c>
      <c r="E22">
        <v>0.37491862005227861</v>
      </c>
      <c r="F22">
        <v>0.37491862005227861</v>
      </c>
      <c r="G22">
        <v>0.37491862005227861</v>
      </c>
      <c r="H22">
        <v>7.4983724010455708</v>
      </c>
      <c r="I22">
        <v>3</v>
      </c>
      <c r="J22">
        <v>0</v>
      </c>
      <c r="K22">
        <v>0</v>
      </c>
    </row>
    <row r="23" spans="1:11" x14ac:dyDescent="0.25">
      <c r="A23" t="s">
        <v>13</v>
      </c>
      <c r="B23">
        <v>43</v>
      </c>
      <c r="C23" t="s">
        <v>28</v>
      </c>
      <c r="D23">
        <v>1412235.4284938851</v>
      </c>
      <c r="E23">
        <v>0.37514416607898138</v>
      </c>
      <c r="F23">
        <v>0.37514416607898138</v>
      </c>
      <c r="G23">
        <v>0.37514416607898138</v>
      </c>
      <c r="H23">
        <v>7.5028833215796276</v>
      </c>
      <c r="I23">
        <v>3</v>
      </c>
      <c r="J23">
        <v>0</v>
      </c>
      <c r="K23">
        <v>0</v>
      </c>
    </row>
    <row r="24" spans="1:11" x14ac:dyDescent="0.25">
      <c r="A24" t="s">
        <v>13</v>
      </c>
      <c r="B24">
        <v>44</v>
      </c>
      <c r="C24" t="s">
        <v>28</v>
      </c>
      <c r="D24">
        <v>1411950.786146868</v>
      </c>
      <c r="E24">
        <v>0.37522118684660449</v>
      </c>
      <c r="F24">
        <v>0.37522118684660449</v>
      </c>
      <c r="G24">
        <v>0.37522118684660449</v>
      </c>
      <c r="H24">
        <v>7.5044237369320888</v>
      </c>
      <c r="I24">
        <v>3</v>
      </c>
      <c r="J24">
        <v>0</v>
      </c>
      <c r="K24">
        <v>0</v>
      </c>
    </row>
    <row r="25" spans="1:11" x14ac:dyDescent="0.25">
      <c r="A25" t="s">
        <v>13</v>
      </c>
      <c r="B25">
        <v>45</v>
      </c>
      <c r="C25" t="s">
        <v>28</v>
      </c>
      <c r="D25">
        <v>1411681.1015217949</v>
      </c>
      <c r="E25">
        <v>0.37498432491728428</v>
      </c>
      <c r="F25">
        <v>0.37498432491728428</v>
      </c>
      <c r="G25">
        <v>0.37498432491728428</v>
      </c>
      <c r="H25">
        <v>7.499686498345687</v>
      </c>
      <c r="I25">
        <v>3</v>
      </c>
      <c r="J25">
        <v>0</v>
      </c>
      <c r="K25">
        <v>0</v>
      </c>
    </row>
    <row r="26" spans="1:11" x14ac:dyDescent="0.25">
      <c r="A26" t="s">
        <v>13</v>
      </c>
      <c r="B26">
        <v>46</v>
      </c>
      <c r="C26" t="s">
        <v>28</v>
      </c>
      <c r="D26">
        <v>1411815.8141861041</v>
      </c>
      <c r="E26">
        <v>0.37532607770171311</v>
      </c>
      <c r="F26">
        <v>0.37532607770171311</v>
      </c>
      <c r="G26">
        <v>0.37532607770171311</v>
      </c>
      <c r="H26">
        <v>7.5065215540342614</v>
      </c>
      <c r="I26">
        <v>3</v>
      </c>
      <c r="J26">
        <v>0</v>
      </c>
      <c r="K26">
        <v>0</v>
      </c>
    </row>
    <row r="27" spans="1:11" x14ac:dyDescent="0.25">
      <c r="A27" t="s">
        <v>13</v>
      </c>
      <c r="B27">
        <v>47</v>
      </c>
      <c r="C27" t="s">
        <v>28</v>
      </c>
      <c r="D27">
        <v>1412032.1183956501</v>
      </c>
      <c r="E27">
        <v>0.37499632737872679</v>
      </c>
      <c r="F27">
        <v>0.37499632737872679</v>
      </c>
      <c r="G27">
        <v>0.37499632737872679</v>
      </c>
      <c r="H27">
        <v>7.4999265475745363</v>
      </c>
      <c r="I27">
        <v>3</v>
      </c>
      <c r="J27">
        <v>0</v>
      </c>
      <c r="K27">
        <v>0</v>
      </c>
    </row>
    <row r="28" spans="1:11" x14ac:dyDescent="0.25">
      <c r="A28" t="s">
        <v>13</v>
      </c>
      <c r="B28">
        <v>48</v>
      </c>
      <c r="C28" t="s">
        <v>28</v>
      </c>
      <c r="D28">
        <v>1411959.2702515051</v>
      </c>
      <c r="E28">
        <v>0.37489120909170909</v>
      </c>
      <c r="F28">
        <v>0.37489120909170909</v>
      </c>
      <c r="G28">
        <v>0.37489120909170909</v>
      </c>
      <c r="H28">
        <v>7.497824181834182</v>
      </c>
      <c r="I28">
        <v>3</v>
      </c>
      <c r="J28">
        <v>0</v>
      </c>
      <c r="K28">
        <v>0</v>
      </c>
    </row>
    <row r="29" spans="1:11" x14ac:dyDescent="0.25">
      <c r="A29" t="s">
        <v>13</v>
      </c>
      <c r="B29">
        <v>49</v>
      </c>
      <c r="C29" t="s">
        <v>28</v>
      </c>
      <c r="D29">
        <v>1411882.4197596591</v>
      </c>
      <c r="E29">
        <v>0.37473593852730869</v>
      </c>
      <c r="F29">
        <v>0.37473593852730869</v>
      </c>
      <c r="G29">
        <v>0.37473593852730869</v>
      </c>
      <c r="H29">
        <v>7.4947187705461742</v>
      </c>
      <c r="I29">
        <v>3</v>
      </c>
      <c r="J29">
        <v>0</v>
      </c>
      <c r="K29">
        <v>0</v>
      </c>
    </row>
    <row r="30" spans="1:11" x14ac:dyDescent="0.25">
      <c r="A30" t="s">
        <v>13</v>
      </c>
      <c r="B30">
        <v>50</v>
      </c>
      <c r="C30" t="s">
        <v>28</v>
      </c>
      <c r="D30">
        <v>1411926.6566240699</v>
      </c>
      <c r="E30">
        <v>0.37528446633410062</v>
      </c>
      <c r="F30">
        <v>0.37528446633410062</v>
      </c>
      <c r="G30">
        <v>0.37528446633410062</v>
      </c>
      <c r="H30">
        <v>7.5056893266820106</v>
      </c>
      <c r="I30">
        <v>3</v>
      </c>
      <c r="J30">
        <v>0</v>
      </c>
      <c r="K30">
        <v>0</v>
      </c>
    </row>
    <row r="31" spans="1:11" x14ac:dyDescent="0.25">
      <c r="A31" t="s">
        <v>13</v>
      </c>
      <c r="B31">
        <v>51</v>
      </c>
      <c r="C31" t="s">
        <v>28</v>
      </c>
      <c r="D31">
        <v>1411854.454435477</v>
      </c>
      <c r="E31">
        <v>0.37522338215631512</v>
      </c>
      <c r="F31">
        <v>0.37522338215631512</v>
      </c>
      <c r="G31">
        <v>0.37522338215631512</v>
      </c>
      <c r="H31">
        <v>7.5044676431263024</v>
      </c>
      <c r="I31">
        <v>3</v>
      </c>
      <c r="J31">
        <v>0</v>
      </c>
      <c r="K31">
        <v>0</v>
      </c>
    </row>
    <row r="32" spans="1:11" x14ac:dyDescent="0.25">
      <c r="A32" t="s">
        <v>29</v>
      </c>
      <c r="B32">
        <v>42</v>
      </c>
      <c r="C32" t="s">
        <v>26</v>
      </c>
      <c r="D32">
        <v>1043673.865262107</v>
      </c>
      <c r="E32">
        <v>0.5001301890817329</v>
      </c>
      <c r="F32">
        <v>0.5001301890817329</v>
      </c>
      <c r="G32">
        <v>0.5001301890817329</v>
      </c>
      <c r="H32">
        <v>10.00260378163466</v>
      </c>
      <c r="I32">
        <v>3</v>
      </c>
      <c r="J32">
        <v>0</v>
      </c>
      <c r="K32">
        <v>0</v>
      </c>
    </row>
    <row r="33" spans="1:11" x14ac:dyDescent="0.25">
      <c r="A33" t="s">
        <v>29</v>
      </c>
      <c r="B33">
        <v>43</v>
      </c>
      <c r="C33" t="s">
        <v>26</v>
      </c>
      <c r="D33">
        <v>1045289.338915164</v>
      </c>
      <c r="E33">
        <v>0.50011515647269933</v>
      </c>
      <c r="F33">
        <v>0.50011515647269933</v>
      </c>
      <c r="G33">
        <v>0.50011515647269933</v>
      </c>
      <c r="H33">
        <v>10.002303129453979</v>
      </c>
      <c r="I33">
        <v>3</v>
      </c>
      <c r="J33">
        <v>0</v>
      </c>
      <c r="K33">
        <v>0</v>
      </c>
    </row>
    <row r="34" spans="1:11" x14ac:dyDescent="0.25">
      <c r="A34" t="s">
        <v>29</v>
      </c>
      <c r="B34">
        <v>44</v>
      </c>
      <c r="C34" t="s">
        <v>26</v>
      </c>
      <c r="D34">
        <v>1044198.89914044</v>
      </c>
      <c r="E34">
        <v>0.49991251774194823</v>
      </c>
      <c r="F34">
        <v>0.49991251774194823</v>
      </c>
      <c r="G34">
        <v>0.49991251774194823</v>
      </c>
      <c r="H34">
        <v>9.9982503548389623</v>
      </c>
      <c r="I34">
        <v>3</v>
      </c>
      <c r="J34">
        <v>0</v>
      </c>
      <c r="K34">
        <v>0</v>
      </c>
    </row>
    <row r="35" spans="1:11" x14ac:dyDescent="0.25">
      <c r="A35" t="s">
        <v>29</v>
      </c>
      <c r="B35">
        <v>45</v>
      </c>
      <c r="C35" t="s">
        <v>26</v>
      </c>
      <c r="D35">
        <v>1042715.542778125</v>
      </c>
      <c r="E35">
        <v>0.50024760676225</v>
      </c>
      <c r="F35">
        <v>0.50024760676225</v>
      </c>
      <c r="G35">
        <v>0.50024760676225</v>
      </c>
      <c r="H35">
        <v>10.004952135245</v>
      </c>
      <c r="I35">
        <v>3</v>
      </c>
      <c r="J35">
        <v>0</v>
      </c>
      <c r="K35">
        <v>0</v>
      </c>
    </row>
    <row r="36" spans="1:11" x14ac:dyDescent="0.25">
      <c r="A36" t="s">
        <v>29</v>
      </c>
      <c r="B36">
        <v>46</v>
      </c>
      <c r="C36" t="s">
        <v>26</v>
      </c>
      <c r="D36">
        <v>1042539.271628435</v>
      </c>
      <c r="E36">
        <v>0.50059388559473195</v>
      </c>
      <c r="F36">
        <v>0.50059388559473195</v>
      </c>
      <c r="G36">
        <v>0.50059388559473195</v>
      </c>
      <c r="H36">
        <v>10.011877711894639</v>
      </c>
      <c r="I36">
        <v>3</v>
      </c>
      <c r="J36">
        <v>0</v>
      </c>
      <c r="K36">
        <v>0</v>
      </c>
    </row>
    <row r="37" spans="1:11" x14ac:dyDescent="0.25">
      <c r="A37" t="s">
        <v>29</v>
      </c>
      <c r="B37">
        <v>47</v>
      </c>
      <c r="C37" t="s">
        <v>26</v>
      </c>
      <c r="D37">
        <v>1043277.32302283</v>
      </c>
      <c r="E37">
        <v>0.50004287905122702</v>
      </c>
      <c r="F37">
        <v>0.50004287905122702</v>
      </c>
      <c r="G37">
        <v>0.50004287905122702</v>
      </c>
      <c r="H37">
        <v>10.00085758102454</v>
      </c>
      <c r="I37">
        <v>3</v>
      </c>
      <c r="J37">
        <v>0</v>
      </c>
      <c r="K37">
        <v>0</v>
      </c>
    </row>
    <row r="38" spans="1:11" x14ac:dyDescent="0.25">
      <c r="A38" t="s">
        <v>29</v>
      </c>
      <c r="B38">
        <v>48</v>
      </c>
      <c r="C38" t="s">
        <v>26</v>
      </c>
      <c r="D38">
        <v>1044884.127672149</v>
      </c>
      <c r="E38">
        <v>0.50038683146688911</v>
      </c>
      <c r="F38">
        <v>0.50038683146688911</v>
      </c>
      <c r="G38">
        <v>0.50038683146688911</v>
      </c>
      <c r="H38">
        <v>10.00773662933778</v>
      </c>
      <c r="I38">
        <v>3</v>
      </c>
      <c r="J38">
        <v>0</v>
      </c>
      <c r="K38">
        <v>0</v>
      </c>
    </row>
    <row r="39" spans="1:11" x14ac:dyDescent="0.25">
      <c r="A39" t="s">
        <v>29</v>
      </c>
      <c r="B39">
        <v>49</v>
      </c>
      <c r="C39" t="s">
        <v>26</v>
      </c>
      <c r="D39">
        <v>1043671.508883448</v>
      </c>
      <c r="E39">
        <v>0.50033282306849081</v>
      </c>
      <c r="F39">
        <v>0.50033282306849081</v>
      </c>
      <c r="G39">
        <v>0.50033282306849081</v>
      </c>
      <c r="H39">
        <v>10.006656461369809</v>
      </c>
      <c r="I39">
        <v>3</v>
      </c>
      <c r="J39">
        <v>0</v>
      </c>
      <c r="K39">
        <v>0</v>
      </c>
    </row>
    <row r="40" spans="1:11" x14ac:dyDescent="0.25">
      <c r="A40" t="s">
        <v>29</v>
      </c>
      <c r="B40">
        <v>50</v>
      </c>
      <c r="C40" t="s">
        <v>26</v>
      </c>
      <c r="D40">
        <v>1044524.2766348</v>
      </c>
      <c r="E40">
        <v>0.50001567248964007</v>
      </c>
      <c r="F40">
        <v>0.50001567248964007</v>
      </c>
      <c r="G40">
        <v>0.50001567248964007</v>
      </c>
      <c r="H40">
        <v>10.000313449792801</v>
      </c>
      <c r="I40">
        <v>3</v>
      </c>
      <c r="J40">
        <v>0</v>
      </c>
      <c r="K40">
        <v>0</v>
      </c>
    </row>
    <row r="41" spans="1:11" x14ac:dyDescent="0.25">
      <c r="A41" t="s">
        <v>29</v>
      </c>
      <c r="B41">
        <v>51</v>
      </c>
      <c r="C41" t="s">
        <v>26</v>
      </c>
      <c r="D41">
        <v>1044006.325975604</v>
      </c>
      <c r="E41">
        <v>0.50003552112481575</v>
      </c>
      <c r="F41">
        <v>0.50003552112481575</v>
      </c>
      <c r="G41">
        <v>0.50003552112481575</v>
      </c>
      <c r="H41">
        <v>10.00071042249632</v>
      </c>
      <c r="I41">
        <v>3</v>
      </c>
      <c r="J41">
        <v>0</v>
      </c>
      <c r="K41">
        <v>0</v>
      </c>
    </row>
    <row r="42" spans="1:11" x14ac:dyDescent="0.25">
      <c r="A42" t="s">
        <v>29</v>
      </c>
      <c r="B42">
        <v>42</v>
      </c>
      <c r="C42" t="s">
        <v>27</v>
      </c>
      <c r="D42">
        <v>1043673.865262107</v>
      </c>
      <c r="E42">
        <v>2.0374686564736271</v>
      </c>
      <c r="F42">
        <v>1.6659325313712801</v>
      </c>
      <c r="G42">
        <v>0.83296626568564003</v>
      </c>
      <c r="H42">
        <v>12.494493985284601</v>
      </c>
      <c r="I42">
        <v>9.7841592890752871</v>
      </c>
      <c r="J42">
        <v>12</v>
      </c>
      <c r="K42">
        <v>6.8987068083685324E-4</v>
      </c>
    </row>
    <row r="43" spans="1:11" x14ac:dyDescent="0.25">
      <c r="A43" t="s">
        <v>29</v>
      </c>
      <c r="B43">
        <v>43</v>
      </c>
      <c r="C43" t="s">
        <v>27</v>
      </c>
      <c r="D43">
        <v>1045289.338915164</v>
      </c>
      <c r="E43">
        <v>2.023015673824482</v>
      </c>
      <c r="F43">
        <v>1.662502982379811</v>
      </c>
      <c r="G43">
        <v>0.83125149118990527</v>
      </c>
      <c r="H43">
        <v>12.46877236784858</v>
      </c>
      <c r="I43">
        <v>9.7347948016483503</v>
      </c>
      <c r="J43">
        <v>14</v>
      </c>
      <c r="K43">
        <v>8.0360524950132931E-4</v>
      </c>
    </row>
    <row r="44" spans="1:11" x14ac:dyDescent="0.25">
      <c r="A44" t="s">
        <v>29</v>
      </c>
      <c r="B44">
        <v>44</v>
      </c>
      <c r="C44" t="s">
        <v>27</v>
      </c>
      <c r="D44">
        <v>1044198.89914044</v>
      </c>
      <c r="E44">
        <v>2.0341922592391359</v>
      </c>
      <c r="F44">
        <v>1.666006110150023</v>
      </c>
      <c r="G44">
        <v>0.83300305507501138</v>
      </c>
      <c r="H44">
        <v>12.495045826125169</v>
      </c>
      <c r="I44">
        <v>9.7679942316944253</v>
      </c>
      <c r="J44">
        <v>21</v>
      </c>
      <c r="K44">
        <v>1.206666661913935E-3</v>
      </c>
    </row>
    <row r="45" spans="1:11" x14ac:dyDescent="0.25">
      <c r="A45" t="s">
        <v>29</v>
      </c>
      <c r="B45">
        <v>45</v>
      </c>
      <c r="C45" t="s">
        <v>27</v>
      </c>
      <c r="D45">
        <v>1042715.542778125</v>
      </c>
      <c r="E45">
        <v>2.0391739980307819</v>
      </c>
      <c r="F45">
        <v>1.668242309146772</v>
      </c>
      <c r="G45">
        <v>0.8341211545733862</v>
      </c>
      <c r="H45">
        <v>12.511817318600791</v>
      </c>
      <c r="I45">
        <v>9.7787904639523191</v>
      </c>
      <c r="J45">
        <v>15</v>
      </c>
      <c r="K45">
        <v>8.6313089531792541E-4</v>
      </c>
    </row>
    <row r="46" spans="1:11" x14ac:dyDescent="0.25">
      <c r="A46" t="s">
        <v>29</v>
      </c>
      <c r="B46">
        <v>46</v>
      </c>
      <c r="C46" t="s">
        <v>27</v>
      </c>
      <c r="D46">
        <v>1042539.271628435</v>
      </c>
      <c r="E46">
        <v>2.0337047211587418</v>
      </c>
      <c r="F46">
        <v>1.668364854143648</v>
      </c>
      <c r="G46">
        <v>0.83418242707182377</v>
      </c>
      <c r="H46">
        <v>12.51273640607736</v>
      </c>
      <c r="I46">
        <v>9.7518463835184015</v>
      </c>
      <c r="J46">
        <v>8</v>
      </c>
      <c r="K46">
        <v>4.6041431058059371E-4</v>
      </c>
    </row>
    <row r="47" spans="1:11" x14ac:dyDescent="0.25">
      <c r="A47" t="s">
        <v>29</v>
      </c>
      <c r="B47">
        <v>47</v>
      </c>
      <c r="C47" t="s">
        <v>27</v>
      </c>
      <c r="D47">
        <v>1043277.32302283</v>
      </c>
      <c r="E47">
        <v>2.0305968755600321</v>
      </c>
      <c r="F47">
        <v>1.667566341193117</v>
      </c>
      <c r="G47">
        <v>0.83378317059655871</v>
      </c>
      <c r="H47">
        <v>12.50674755894838</v>
      </c>
      <c r="I47">
        <v>9.7416064375929849</v>
      </c>
      <c r="J47">
        <v>10</v>
      </c>
      <c r="K47">
        <v>5.7511074645190017E-4</v>
      </c>
    </row>
    <row r="48" spans="1:11" x14ac:dyDescent="0.25">
      <c r="A48" t="s">
        <v>29</v>
      </c>
      <c r="B48">
        <v>48</v>
      </c>
      <c r="C48" t="s">
        <v>27</v>
      </c>
      <c r="D48">
        <v>1044884.127672149</v>
      </c>
      <c r="E48">
        <v>2.0256544525246651</v>
      </c>
      <c r="F48">
        <v>1.6630906450866909</v>
      </c>
      <c r="G48">
        <v>0.83154532254334557</v>
      </c>
      <c r="H48">
        <v>12.47317983815018</v>
      </c>
      <c r="I48">
        <v>9.7440483283775521</v>
      </c>
      <c r="J48">
        <v>22</v>
      </c>
      <c r="K48">
        <v>1.2632979725137269E-3</v>
      </c>
    </row>
    <row r="49" spans="1:11" x14ac:dyDescent="0.25">
      <c r="A49" t="s">
        <v>29</v>
      </c>
      <c r="B49">
        <v>49</v>
      </c>
      <c r="C49" t="s">
        <v>27</v>
      </c>
      <c r="D49">
        <v>1043671.508883448</v>
      </c>
      <c r="E49">
        <v>2.0294865584828692</v>
      </c>
      <c r="F49">
        <v>1.6661301693451069</v>
      </c>
      <c r="G49">
        <v>0.83306508467255347</v>
      </c>
      <c r="H49">
        <v>12.495976270088301</v>
      </c>
      <c r="I49">
        <v>9.7446722750627988</v>
      </c>
      <c r="J49">
        <v>20</v>
      </c>
      <c r="K49">
        <v>1.149787064019595E-3</v>
      </c>
    </row>
    <row r="50" spans="1:11" x14ac:dyDescent="0.25">
      <c r="A50" t="s">
        <v>29</v>
      </c>
      <c r="B50">
        <v>50</v>
      </c>
      <c r="C50" t="s">
        <v>27</v>
      </c>
      <c r="D50">
        <v>1044524.2766348</v>
      </c>
      <c r="E50">
        <v>2.0274008717131768</v>
      </c>
      <c r="F50">
        <v>1.6643262676371471</v>
      </c>
      <c r="G50">
        <v>0.83216313381857332</v>
      </c>
      <c r="H50">
        <v>12.4824470072786</v>
      </c>
      <c r="I50">
        <v>9.7452087905407616</v>
      </c>
      <c r="J50">
        <v>17</v>
      </c>
      <c r="K50">
        <v>9.7652110421615908E-4</v>
      </c>
    </row>
    <row r="51" spans="1:11" x14ac:dyDescent="0.25">
      <c r="A51" t="s">
        <v>29</v>
      </c>
      <c r="B51">
        <v>51</v>
      </c>
      <c r="C51" t="s">
        <v>27</v>
      </c>
      <c r="D51">
        <v>1044006.325975604</v>
      </c>
      <c r="E51">
        <v>2.023699987611741</v>
      </c>
      <c r="F51">
        <v>1.6654602131497309</v>
      </c>
      <c r="G51">
        <v>0.83273010657486568</v>
      </c>
      <c r="H51">
        <v>12.49095159862298</v>
      </c>
      <c r="I51">
        <v>9.7207965540503825</v>
      </c>
      <c r="J51">
        <v>16</v>
      </c>
      <c r="K51">
        <v>9.1953465809021596E-4</v>
      </c>
    </row>
    <row r="52" spans="1:11" x14ac:dyDescent="0.25">
      <c r="A52" t="s">
        <v>29</v>
      </c>
      <c r="B52">
        <v>42</v>
      </c>
      <c r="C52" t="s">
        <v>28</v>
      </c>
      <c r="D52">
        <v>1043673.865262107</v>
      </c>
      <c r="E52">
        <v>0.69414946352714368</v>
      </c>
      <c r="F52">
        <v>0.62493175829764824</v>
      </c>
      <c r="G52">
        <v>0.62493175829764824</v>
      </c>
      <c r="H52">
        <v>12.49863516595296</v>
      </c>
      <c r="I52">
        <v>3.332281265804359</v>
      </c>
      <c r="J52">
        <v>0</v>
      </c>
      <c r="K52">
        <v>0</v>
      </c>
    </row>
    <row r="53" spans="1:11" x14ac:dyDescent="0.25">
      <c r="A53" t="s">
        <v>29</v>
      </c>
      <c r="B53">
        <v>43</v>
      </c>
      <c r="C53" t="s">
        <v>28</v>
      </c>
      <c r="D53">
        <v>1045289.338915164</v>
      </c>
      <c r="E53">
        <v>0.69244936597545648</v>
      </c>
      <c r="F53">
        <v>0.62354014611715591</v>
      </c>
      <c r="G53">
        <v>0.62354014611715591</v>
      </c>
      <c r="H53">
        <v>12.47080292234312</v>
      </c>
      <c r="I53">
        <v>3.331538652101576</v>
      </c>
      <c r="J53">
        <v>0</v>
      </c>
      <c r="K53">
        <v>0</v>
      </c>
    </row>
    <row r="54" spans="1:11" x14ac:dyDescent="0.25">
      <c r="A54" t="s">
        <v>29</v>
      </c>
      <c r="B54">
        <v>44</v>
      </c>
      <c r="C54" t="s">
        <v>28</v>
      </c>
      <c r="D54">
        <v>1044198.89914044</v>
      </c>
      <c r="E54">
        <v>0.69415866083532485</v>
      </c>
      <c r="F54">
        <v>0.62507575841487861</v>
      </c>
      <c r="G54">
        <v>0.62507575841487861</v>
      </c>
      <c r="H54">
        <v>12.501515168297569</v>
      </c>
      <c r="I54">
        <v>3.3315577423557401</v>
      </c>
      <c r="J54">
        <v>0</v>
      </c>
      <c r="K54">
        <v>0</v>
      </c>
    </row>
    <row r="55" spans="1:11" x14ac:dyDescent="0.25">
      <c r="A55" t="s">
        <v>29</v>
      </c>
      <c r="B55">
        <v>45</v>
      </c>
      <c r="C55" t="s">
        <v>28</v>
      </c>
      <c r="D55">
        <v>1042715.542778125</v>
      </c>
      <c r="E55">
        <v>0.69505831224972869</v>
      </c>
      <c r="F55">
        <v>0.62535792317061478</v>
      </c>
      <c r="G55">
        <v>0.62535792317061478</v>
      </c>
      <c r="H55">
        <v>12.507158463412299</v>
      </c>
      <c r="I55">
        <v>3.3343703813284749</v>
      </c>
      <c r="J55">
        <v>0</v>
      </c>
      <c r="K55">
        <v>0</v>
      </c>
    </row>
    <row r="56" spans="1:11" x14ac:dyDescent="0.25">
      <c r="A56" t="s">
        <v>29</v>
      </c>
      <c r="B56">
        <v>46</v>
      </c>
      <c r="C56" t="s">
        <v>28</v>
      </c>
      <c r="D56">
        <v>1042539.271628435</v>
      </c>
      <c r="E56">
        <v>0.69648125888865975</v>
      </c>
      <c r="F56">
        <v>0.62584762503871572</v>
      </c>
      <c r="G56">
        <v>0.62584762503871572</v>
      </c>
      <c r="H56">
        <v>12.516952500774311</v>
      </c>
      <c r="I56">
        <v>3.3385822572015411</v>
      </c>
      <c r="J56">
        <v>0</v>
      </c>
      <c r="K56">
        <v>0</v>
      </c>
    </row>
    <row r="57" spans="1:11" x14ac:dyDescent="0.25">
      <c r="A57" t="s">
        <v>29</v>
      </c>
      <c r="B57">
        <v>47</v>
      </c>
      <c r="C57" t="s">
        <v>28</v>
      </c>
      <c r="D57">
        <v>1043277.32302283</v>
      </c>
      <c r="E57">
        <v>0.69517253507886489</v>
      </c>
      <c r="F57">
        <v>0.62515745919354393</v>
      </c>
      <c r="G57">
        <v>0.62515745919354393</v>
      </c>
      <c r="H57">
        <v>12.50314918387088</v>
      </c>
      <c r="I57">
        <v>3.335987717281534</v>
      </c>
      <c r="J57">
        <v>0</v>
      </c>
      <c r="K57">
        <v>0</v>
      </c>
    </row>
    <row r="58" spans="1:11" x14ac:dyDescent="0.25">
      <c r="A58" t="s">
        <v>29</v>
      </c>
      <c r="B58">
        <v>48</v>
      </c>
      <c r="C58" t="s">
        <v>28</v>
      </c>
      <c r="D58">
        <v>1044884.127672149</v>
      </c>
      <c r="E58">
        <v>0.692233997177927</v>
      </c>
      <c r="F58">
        <v>0.62323188056844614</v>
      </c>
      <c r="G58">
        <v>0.62323188056844614</v>
      </c>
      <c r="H58">
        <v>12.46463761136892</v>
      </c>
      <c r="I58">
        <v>3.3321498085746719</v>
      </c>
      <c r="J58">
        <v>0</v>
      </c>
      <c r="K58">
        <v>0</v>
      </c>
    </row>
    <row r="59" spans="1:11" x14ac:dyDescent="0.25">
      <c r="A59" t="s">
        <v>29</v>
      </c>
      <c r="B59">
        <v>49</v>
      </c>
      <c r="C59" t="s">
        <v>28</v>
      </c>
      <c r="D59">
        <v>1043671.508883448</v>
      </c>
      <c r="E59">
        <v>0.69415646930408992</v>
      </c>
      <c r="F59">
        <v>0.62456057579310731</v>
      </c>
      <c r="G59">
        <v>0.62456057579310731</v>
      </c>
      <c r="H59">
        <v>12.491211515862149</v>
      </c>
      <c r="I59">
        <v>3.3342953247854559</v>
      </c>
      <c r="J59">
        <v>0</v>
      </c>
      <c r="K59">
        <v>0</v>
      </c>
    </row>
    <row r="60" spans="1:11" x14ac:dyDescent="0.25">
      <c r="A60" t="s">
        <v>29</v>
      </c>
      <c r="B60">
        <v>50</v>
      </c>
      <c r="C60" t="s">
        <v>28</v>
      </c>
      <c r="D60">
        <v>1044524.2766348</v>
      </c>
      <c r="E60">
        <v>0.69254447757270143</v>
      </c>
      <c r="F60">
        <v>0.62383994458082037</v>
      </c>
      <c r="G60">
        <v>0.62383994458082037</v>
      </c>
      <c r="H60">
        <v>12.47679889161641</v>
      </c>
      <c r="I60">
        <v>3.330395000778827</v>
      </c>
      <c r="J60">
        <v>0</v>
      </c>
      <c r="K60">
        <v>0</v>
      </c>
    </row>
    <row r="61" spans="1:11" x14ac:dyDescent="0.25">
      <c r="A61" t="s">
        <v>29</v>
      </c>
      <c r="B61">
        <v>51</v>
      </c>
      <c r="C61" t="s">
        <v>28</v>
      </c>
      <c r="D61">
        <v>1044006.325975604</v>
      </c>
      <c r="E61">
        <v>0.69452885230791395</v>
      </c>
      <c r="F61">
        <v>0.62463740058677797</v>
      </c>
      <c r="G61">
        <v>0.62463740058677797</v>
      </c>
      <c r="H61">
        <v>12.492748011735561</v>
      </c>
      <c r="I61">
        <v>3.335673712407297</v>
      </c>
      <c r="J61">
        <v>0</v>
      </c>
      <c r="K61">
        <v>0</v>
      </c>
    </row>
    <row r="63" spans="1:11" x14ac:dyDescent="0.25">
      <c r="A63" s="8" t="s">
        <v>51</v>
      </c>
    </row>
    <row r="64" spans="1:11" x14ac:dyDescent="0.25">
      <c r="A64" s="3" t="s">
        <v>12</v>
      </c>
      <c r="B64" s="3" t="s">
        <v>16</v>
      </c>
      <c r="C64" s="3" t="s">
        <v>40</v>
      </c>
      <c r="D64" s="3" t="s">
        <v>52</v>
      </c>
      <c r="E64" s="3" t="s">
        <v>53</v>
      </c>
      <c r="F64" s="3" t="s">
        <v>54</v>
      </c>
      <c r="G64" s="3" t="s">
        <v>21</v>
      </c>
    </row>
    <row r="65" spans="1:7" x14ac:dyDescent="0.25">
      <c r="A65" s="5" t="s">
        <v>13</v>
      </c>
      <c r="B65" s="5" t="s">
        <v>26</v>
      </c>
      <c r="C65" s="5" t="s">
        <v>31</v>
      </c>
      <c r="D65" s="5">
        <f>AVERAGE(E2:E11)</f>
        <v>0.50004385836414211</v>
      </c>
      <c r="E65" s="5">
        <f>MIN(E2:E11)</f>
        <v>0.49976330110442868</v>
      </c>
      <c r="F65" s="5">
        <f>MAX(E2:E11)</f>
        <v>0.50069691444855247</v>
      </c>
      <c r="G65" s="5">
        <f>COUNT(E2:E11)</f>
        <v>10</v>
      </c>
    </row>
    <row r="66" spans="1:7" x14ac:dyDescent="0.25">
      <c r="A66" s="5" t="s">
        <v>13</v>
      </c>
      <c r="B66" s="5" t="s">
        <v>26</v>
      </c>
      <c r="C66" s="5" t="s">
        <v>32</v>
      </c>
      <c r="D66" s="5">
        <f>AVERAGE(F2:F11)</f>
        <v>0.50004385836414211</v>
      </c>
      <c r="E66" s="5">
        <f>MIN(F2:F11)</f>
        <v>0.49976330110442868</v>
      </c>
      <c r="F66" s="5">
        <f>MAX(F2:F11)</f>
        <v>0.50069691444855247</v>
      </c>
      <c r="G66" s="5">
        <f>COUNT(F2:F11)</f>
        <v>10</v>
      </c>
    </row>
    <row r="67" spans="1:7" x14ac:dyDescent="0.25">
      <c r="A67" s="5" t="s">
        <v>13</v>
      </c>
      <c r="B67" s="5" t="s">
        <v>26</v>
      </c>
      <c r="C67" s="5" t="s">
        <v>33</v>
      </c>
      <c r="D67" s="5">
        <f>AVERAGE(G2:G11)</f>
        <v>0.50004385836414211</v>
      </c>
      <c r="E67" s="5">
        <f>MIN(G2:G11)</f>
        <v>0.49976330110442868</v>
      </c>
      <c r="F67" s="5">
        <f>MAX(G2:G11)</f>
        <v>0.50069691444855247</v>
      </c>
      <c r="G67" s="5">
        <f>COUNT(G2:G11)</f>
        <v>10</v>
      </c>
    </row>
    <row r="68" spans="1:7" x14ac:dyDescent="0.25">
      <c r="A68" s="5" t="s">
        <v>13</v>
      </c>
      <c r="B68" s="5" t="s">
        <v>26</v>
      </c>
      <c r="C68" s="5" t="s">
        <v>47</v>
      </c>
      <c r="D68" s="5">
        <f>AVERAGE(H2:H11)</f>
        <v>10.000877167282841</v>
      </c>
      <c r="E68" s="5">
        <f>MIN(H2:H11)</f>
        <v>9.9952660220885736</v>
      </c>
      <c r="F68" s="5">
        <f>MAX(H2:H11)</f>
        <v>10.013938288971049</v>
      </c>
      <c r="G68" s="5">
        <f>COUNT(H2:H11)</f>
        <v>10</v>
      </c>
    </row>
    <row r="69" spans="1:7" x14ac:dyDescent="0.25">
      <c r="A69" s="5" t="s">
        <v>13</v>
      </c>
      <c r="B69" s="5" t="s">
        <v>26</v>
      </c>
      <c r="C69" s="5" t="s">
        <v>48</v>
      </c>
      <c r="D69" s="5">
        <f>AVERAGE(I2:I11)</f>
        <v>3</v>
      </c>
      <c r="E69" s="5">
        <f>MIN(I2:I11)</f>
        <v>3</v>
      </c>
      <c r="F69" s="5">
        <f>MAX(I2:I11)</f>
        <v>3</v>
      </c>
      <c r="G69" s="5">
        <f>COUNT(I2:I11)</f>
        <v>10</v>
      </c>
    </row>
    <row r="70" spans="1:7" x14ac:dyDescent="0.25">
      <c r="A70" s="5" t="s">
        <v>13</v>
      </c>
      <c r="B70" s="5" t="s">
        <v>26</v>
      </c>
      <c r="C70" s="5" t="s">
        <v>49</v>
      </c>
      <c r="D70" s="5">
        <f>AVERAGE(J2:J11)</f>
        <v>0</v>
      </c>
      <c r="E70" s="5">
        <f>MIN(J2:J11)</f>
        <v>0</v>
      </c>
      <c r="F70" s="5">
        <f>MAX(J2:J11)</f>
        <v>0</v>
      </c>
      <c r="G70" s="5">
        <f>COUNT(J2:J11)</f>
        <v>10</v>
      </c>
    </row>
    <row r="71" spans="1:7" x14ac:dyDescent="0.25">
      <c r="A71" s="5" t="s">
        <v>13</v>
      </c>
      <c r="B71" s="5" t="s">
        <v>26</v>
      </c>
      <c r="C71" s="5" t="s">
        <v>50</v>
      </c>
      <c r="D71" s="5">
        <f>AVERAGE(K2:K11)</f>
        <v>0</v>
      </c>
      <c r="E71" s="5">
        <f>MIN(K2:K11)</f>
        <v>0</v>
      </c>
      <c r="F71" s="5">
        <f>MAX(K2:K11)</f>
        <v>0</v>
      </c>
      <c r="G71" s="5">
        <f>COUNT(K2:K11)</f>
        <v>10</v>
      </c>
    </row>
    <row r="72" spans="1:7" x14ac:dyDescent="0.25">
      <c r="A72" s="5" t="s">
        <v>13</v>
      </c>
      <c r="B72" s="5" t="s">
        <v>27</v>
      </c>
      <c r="C72" s="5" t="s">
        <v>31</v>
      </c>
      <c r="D72" s="5">
        <f>AVERAGE(E12:E21)</f>
        <v>7.6303204743635273</v>
      </c>
      <c r="E72" s="5">
        <f>MIN(E12:E21)</f>
        <v>7.6299382277812473</v>
      </c>
      <c r="F72" s="5">
        <f>MAX(E12:E21)</f>
        <v>7.631002508034106</v>
      </c>
      <c r="G72" s="5">
        <f>COUNT(E12:E21)</f>
        <v>10</v>
      </c>
    </row>
    <row r="73" spans="1:7" x14ac:dyDescent="0.25">
      <c r="A73" s="5" t="s">
        <v>13</v>
      </c>
      <c r="B73" s="5" t="s">
        <v>27</v>
      </c>
      <c r="C73" s="5" t="s">
        <v>32</v>
      </c>
      <c r="D73" s="5">
        <f>AVERAGE(F12:F21)</f>
        <v>0.99999363689035603</v>
      </c>
      <c r="E73" s="5">
        <f>MIN(F12:F21)</f>
        <v>0.99999307520424785</v>
      </c>
      <c r="F73" s="5">
        <f>MAX(F12:F21)</f>
        <v>0.99999394781808748</v>
      </c>
      <c r="G73" s="5">
        <f>COUNT(F12:F21)</f>
        <v>10</v>
      </c>
    </row>
    <row r="74" spans="1:7" x14ac:dyDescent="0.25">
      <c r="A74" s="5" t="s">
        <v>13</v>
      </c>
      <c r="B74" s="5" t="s">
        <v>27</v>
      </c>
      <c r="C74" s="5" t="s">
        <v>33</v>
      </c>
      <c r="D74" s="5">
        <f>AVERAGE(G12:G21)</f>
        <v>0.99999363689035603</v>
      </c>
      <c r="E74" s="5">
        <f>MIN(G12:G21)</f>
        <v>0.99999307520424785</v>
      </c>
      <c r="F74" s="5">
        <f>MAX(G12:G21)</f>
        <v>0.99999394781808748</v>
      </c>
      <c r="G74" s="5">
        <f>COUNT(G12:G21)</f>
        <v>10</v>
      </c>
    </row>
    <row r="75" spans="1:7" x14ac:dyDescent="0.25">
      <c r="A75" s="5" t="s">
        <v>13</v>
      </c>
      <c r="B75" s="5" t="s">
        <v>27</v>
      </c>
      <c r="C75" s="5" t="s">
        <v>47</v>
      </c>
      <c r="D75" s="5">
        <f>AVERAGE(H12:H21)</f>
        <v>7.4999522766776705</v>
      </c>
      <c r="E75" s="5">
        <f>MIN(H12:H21)</f>
        <v>7.4999480640318588</v>
      </c>
      <c r="F75" s="5">
        <f>MAX(H12:H21)</f>
        <v>7.4999546086356563</v>
      </c>
      <c r="G75" s="5">
        <f>COUNT(H12:H21)</f>
        <v>10</v>
      </c>
    </row>
    <row r="76" spans="1:7" x14ac:dyDescent="0.25">
      <c r="A76" s="5" t="s">
        <v>13</v>
      </c>
      <c r="B76" s="5" t="s">
        <v>27</v>
      </c>
      <c r="C76" s="5" t="s">
        <v>48</v>
      </c>
      <c r="D76" s="5">
        <f>AVERAGE(I12:I21)</f>
        <v>61.042952217985473</v>
      </c>
      <c r="E76" s="5">
        <f>MIN(I12:I21)</f>
        <v>61.039894888467423</v>
      </c>
      <c r="F76" s="5">
        <f>MAX(I12:I21)</f>
        <v>61.048408990214028</v>
      </c>
      <c r="G76" s="5">
        <f>COUNT(I12:I21)</f>
        <v>10</v>
      </c>
    </row>
    <row r="77" spans="1:7" x14ac:dyDescent="0.25">
      <c r="A77" s="5" t="s">
        <v>13</v>
      </c>
      <c r="B77" s="5" t="s">
        <v>27</v>
      </c>
      <c r="C77" s="5" t="s">
        <v>49</v>
      </c>
      <c r="D77" s="5">
        <f>AVERAGE(J12:J21)</f>
        <v>94131.6</v>
      </c>
      <c r="E77" s="5">
        <f>MIN(J12:J21)</f>
        <v>94005</v>
      </c>
      <c r="F77" s="5">
        <f>MAX(J12:J21)</f>
        <v>94273</v>
      </c>
      <c r="G77" s="5">
        <f>COUNT(J12:J21)</f>
        <v>10</v>
      </c>
    </row>
    <row r="78" spans="1:7" x14ac:dyDescent="0.25">
      <c r="A78" s="5" t="s">
        <v>13</v>
      </c>
      <c r="B78" s="5" t="s">
        <v>27</v>
      </c>
      <c r="C78" s="5" t="s">
        <v>50</v>
      </c>
      <c r="D78" s="5">
        <f>AVERAGE(K12:K21)</f>
        <v>4.0001991706408049</v>
      </c>
      <c r="E78" s="5">
        <f>MIN(K12:K21)</f>
        <v>3.99475424133291</v>
      </c>
      <c r="F78" s="5">
        <f>MAX(K12:K21)</f>
        <v>4.006457459368268</v>
      </c>
      <c r="G78" s="5">
        <f>COUNT(K12:K21)</f>
        <v>10</v>
      </c>
    </row>
    <row r="79" spans="1:7" x14ac:dyDescent="0.25">
      <c r="A79" s="5" t="s">
        <v>13</v>
      </c>
      <c r="B79" s="5" t="s">
        <v>28</v>
      </c>
      <c r="C79" s="5" t="s">
        <v>31</v>
      </c>
      <c r="D79" s="5">
        <f>AVERAGE(E22:E31)</f>
        <v>0.37507256990850224</v>
      </c>
      <c r="E79" s="5">
        <f>MIN(E22:E31)</f>
        <v>0.37473593852730869</v>
      </c>
      <c r="F79" s="5">
        <f>MAX(E22:E31)</f>
        <v>0.37532607770171311</v>
      </c>
      <c r="G79" s="5">
        <f>COUNT(E22:E31)</f>
        <v>10</v>
      </c>
    </row>
    <row r="80" spans="1:7" x14ac:dyDescent="0.25">
      <c r="A80" s="5" t="s">
        <v>13</v>
      </c>
      <c r="B80" s="5" t="s">
        <v>28</v>
      </c>
      <c r="C80" s="5" t="s">
        <v>32</v>
      </c>
      <c r="D80" s="5">
        <f>AVERAGE(F22:F31)</f>
        <v>0.37507256990850224</v>
      </c>
      <c r="E80" s="5">
        <f>MIN(F22:F31)</f>
        <v>0.37473593852730869</v>
      </c>
      <c r="F80" s="5">
        <f>MAX(F22:F31)</f>
        <v>0.37532607770171311</v>
      </c>
      <c r="G80" s="5">
        <f>COUNT(F22:F31)</f>
        <v>10</v>
      </c>
    </row>
    <row r="81" spans="1:7" x14ac:dyDescent="0.25">
      <c r="A81" s="5" t="s">
        <v>13</v>
      </c>
      <c r="B81" s="5" t="s">
        <v>28</v>
      </c>
      <c r="C81" s="5" t="s">
        <v>33</v>
      </c>
      <c r="D81" s="5">
        <f>AVERAGE(G22:G31)</f>
        <v>0.37507256990850224</v>
      </c>
      <c r="E81" s="5">
        <f>MIN(G22:G31)</f>
        <v>0.37473593852730869</v>
      </c>
      <c r="F81" s="5">
        <f>MAX(G22:G31)</f>
        <v>0.37532607770171311</v>
      </c>
      <c r="G81" s="5">
        <f>COUNT(G22:G31)</f>
        <v>10</v>
      </c>
    </row>
    <row r="82" spans="1:7" x14ac:dyDescent="0.25">
      <c r="A82" s="5" t="s">
        <v>13</v>
      </c>
      <c r="B82" s="5" t="s">
        <v>28</v>
      </c>
      <c r="C82" s="5" t="s">
        <v>47</v>
      </c>
      <c r="D82" s="5">
        <f>AVERAGE(H22:H31)</f>
        <v>7.5014513981700448</v>
      </c>
      <c r="E82" s="5">
        <f>MIN(H22:H31)</f>
        <v>7.4947187705461742</v>
      </c>
      <c r="F82" s="5">
        <f>MAX(H22:H31)</f>
        <v>7.5065215540342614</v>
      </c>
      <c r="G82" s="5">
        <f>COUNT(H22:H31)</f>
        <v>10</v>
      </c>
    </row>
    <row r="83" spans="1:7" x14ac:dyDescent="0.25">
      <c r="A83" s="5" t="s">
        <v>13</v>
      </c>
      <c r="B83" s="5" t="s">
        <v>28</v>
      </c>
      <c r="C83" s="5" t="s">
        <v>48</v>
      </c>
      <c r="D83" s="5">
        <f>AVERAGE(I22:I31)</f>
        <v>3</v>
      </c>
      <c r="E83" s="5">
        <f>MIN(I22:I31)</f>
        <v>3</v>
      </c>
      <c r="F83" s="5">
        <f>MAX(I22:I31)</f>
        <v>3</v>
      </c>
      <c r="G83" s="5">
        <f>COUNT(I22:I31)</f>
        <v>10</v>
      </c>
    </row>
    <row r="84" spans="1:7" x14ac:dyDescent="0.25">
      <c r="A84" s="5" t="s">
        <v>13</v>
      </c>
      <c r="B84" s="5" t="s">
        <v>28</v>
      </c>
      <c r="C84" s="5" t="s">
        <v>49</v>
      </c>
      <c r="D84" s="5">
        <f>AVERAGE(J22:J31)</f>
        <v>0</v>
      </c>
      <c r="E84" s="5">
        <f>MIN(J22:J31)</f>
        <v>0</v>
      </c>
      <c r="F84" s="5">
        <f>MAX(J22:J31)</f>
        <v>0</v>
      </c>
      <c r="G84" s="5">
        <f>COUNT(J22:J31)</f>
        <v>10</v>
      </c>
    </row>
    <row r="85" spans="1:7" x14ac:dyDescent="0.25">
      <c r="A85" s="5" t="s">
        <v>13</v>
      </c>
      <c r="B85" s="5" t="s">
        <v>28</v>
      </c>
      <c r="C85" s="5" t="s">
        <v>50</v>
      </c>
      <c r="D85" s="5">
        <f>AVERAGE(K22:K31)</f>
        <v>0</v>
      </c>
      <c r="E85" s="5">
        <f>MIN(K22:K31)</f>
        <v>0</v>
      </c>
      <c r="F85" s="5">
        <f>MAX(K22:K31)</f>
        <v>0</v>
      </c>
      <c r="G85" s="5">
        <f>COUNT(K22:K31)</f>
        <v>10</v>
      </c>
    </row>
    <row r="86" spans="1:7" x14ac:dyDescent="0.25">
      <c r="A86" s="5" t="s">
        <v>29</v>
      </c>
      <c r="B86" s="5" t="s">
        <v>26</v>
      </c>
      <c r="C86" s="5" t="s">
        <v>31</v>
      </c>
      <c r="D86" s="5">
        <f>AVERAGE(E32:E41)</f>
        <v>0.50018130828544261</v>
      </c>
      <c r="E86" s="5">
        <f>MIN(E32:E41)</f>
        <v>0.49991251774194823</v>
      </c>
      <c r="F86" s="5">
        <f>MAX(E32:E41)</f>
        <v>0.50059388559473195</v>
      </c>
      <c r="G86" s="5">
        <f>COUNT(E32:E41)</f>
        <v>10</v>
      </c>
    </row>
    <row r="87" spans="1:7" x14ac:dyDescent="0.25">
      <c r="A87" s="5" t="s">
        <v>29</v>
      </c>
      <c r="B87" s="5" t="s">
        <v>26</v>
      </c>
      <c r="C87" s="5" t="s">
        <v>32</v>
      </c>
      <c r="D87" s="5">
        <f>AVERAGE(F32:F41)</f>
        <v>0.50018130828544261</v>
      </c>
      <c r="E87" s="5">
        <f>MIN(F32:F41)</f>
        <v>0.49991251774194823</v>
      </c>
      <c r="F87" s="5">
        <f>MAX(F32:F41)</f>
        <v>0.50059388559473195</v>
      </c>
      <c r="G87" s="5">
        <f>COUNT(F32:F41)</f>
        <v>10</v>
      </c>
    </row>
    <row r="88" spans="1:7" x14ac:dyDescent="0.25">
      <c r="A88" s="5" t="s">
        <v>29</v>
      </c>
      <c r="B88" s="5" t="s">
        <v>26</v>
      </c>
      <c r="C88" s="5" t="s">
        <v>33</v>
      </c>
      <c r="D88" s="5">
        <f>AVERAGE(G32:G41)</f>
        <v>0.50018130828544261</v>
      </c>
      <c r="E88" s="5">
        <f>MIN(G32:G41)</f>
        <v>0.49991251774194823</v>
      </c>
      <c r="F88" s="5">
        <f>MAX(G32:G41)</f>
        <v>0.50059388559473195</v>
      </c>
      <c r="G88" s="5">
        <f>COUNT(G32:G41)</f>
        <v>10</v>
      </c>
    </row>
    <row r="89" spans="1:7" x14ac:dyDescent="0.25">
      <c r="A89" s="5" t="s">
        <v>29</v>
      </c>
      <c r="B89" s="5" t="s">
        <v>26</v>
      </c>
      <c r="C89" s="5" t="s">
        <v>47</v>
      </c>
      <c r="D89" s="5">
        <f>AVERAGE(H32:H41)</f>
        <v>10.00362616570885</v>
      </c>
      <c r="E89" s="5">
        <f>MIN(H32:H41)</f>
        <v>9.9982503548389623</v>
      </c>
      <c r="F89" s="5">
        <f>MAX(H32:H41)</f>
        <v>10.011877711894639</v>
      </c>
      <c r="G89" s="5">
        <f>COUNT(H32:H41)</f>
        <v>10</v>
      </c>
    </row>
    <row r="90" spans="1:7" x14ac:dyDescent="0.25">
      <c r="A90" s="5" t="s">
        <v>29</v>
      </c>
      <c r="B90" s="5" t="s">
        <v>26</v>
      </c>
      <c r="C90" s="5" t="s">
        <v>48</v>
      </c>
      <c r="D90" s="5">
        <f>AVERAGE(I32:I41)</f>
        <v>3</v>
      </c>
      <c r="E90" s="5">
        <f>MIN(I32:I41)</f>
        <v>3</v>
      </c>
      <c r="F90" s="5">
        <f>MAX(I32:I41)</f>
        <v>3</v>
      </c>
      <c r="G90" s="5">
        <f>COUNT(I32:I41)</f>
        <v>10</v>
      </c>
    </row>
    <row r="91" spans="1:7" x14ac:dyDescent="0.25">
      <c r="A91" s="5" t="s">
        <v>29</v>
      </c>
      <c r="B91" s="5" t="s">
        <v>26</v>
      </c>
      <c r="C91" s="5" t="s">
        <v>49</v>
      </c>
      <c r="D91" s="5">
        <f>AVERAGE(J32:J41)</f>
        <v>0</v>
      </c>
      <c r="E91" s="5">
        <f>MIN(J32:J41)</f>
        <v>0</v>
      </c>
      <c r="F91" s="5">
        <f>MAX(J32:J41)</f>
        <v>0</v>
      </c>
      <c r="G91" s="5">
        <f>COUNT(J32:J41)</f>
        <v>10</v>
      </c>
    </row>
    <row r="92" spans="1:7" x14ac:dyDescent="0.25">
      <c r="A92" s="5" t="s">
        <v>29</v>
      </c>
      <c r="B92" s="5" t="s">
        <v>26</v>
      </c>
      <c r="C92" s="5" t="s">
        <v>50</v>
      </c>
      <c r="D92" s="5">
        <f>AVERAGE(K32:K41)</f>
        <v>0</v>
      </c>
      <c r="E92" s="5">
        <f>MIN(K32:K41)</f>
        <v>0</v>
      </c>
      <c r="F92" s="5">
        <f>MAX(K32:K41)</f>
        <v>0</v>
      </c>
      <c r="G92" s="5">
        <f>COUNT(K32:K41)</f>
        <v>10</v>
      </c>
    </row>
    <row r="93" spans="1:7" x14ac:dyDescent="0.25">
      <c r="A93" s="5" t="s">
        <v>29</v>
      </c>
      <c r="B93" s="5" t="s">
        <v>27</v>
      </c>
      <c r="C93" s="5" t="s">
        <v>31</v>
      </c>
      <c r="D93" s="5">
        <f>AVERAGE(E42:E51)</f>
        <v>2.0304394054619257</v>
      </c>
      <c r="E93" s="5">
        <f>MIN(E42:E51)</f>
        <v>2.023015673824482</v>
      </c>
      <c r="F93" s="5">
        <f>MAX(E42:E51)</f>
        <v>2.0391739980307819</v>
      </c>
      <c r="G93" s="5">
        <f>COUNT(E42:E51)</f>
        <v>10</v>
      </c>
    </row>
    <row r="94" spans="1:7" x14ac:dyDescent="0.25">
      <c r="A94" s="5" t="s">
        <v>29</v>
      </c>
      <c r="B94" s="5" t="s">
        <v>27</v>
      </c>
      <c r="C94" s="5" t="s">
        <v>32</v>
      </c>
      <c r="D94" s="5">
        <f>AVERAGE(F42:F51)</f>
        <v>1.6657622423603329</v>
      </c>
      <c r="E94" s="5">
        <f>MIN(F42:F51)</f>
        <v>1.662502982379811</v>
      </c>
      <c r="F94" s="5">
        <f>MAX(F42:F51)</f>
        <v>1.668364854143648</v>
      </c>
      <c r="G94" s="5">
        <f>COUNT(F42:F51)</f>
        <v>10</v>
      </c>
    </row>
    <row r="95" spans="1:7" x14ac:dyDescent="0.25">
      <c r="A95" s="5" t="s">
        <v>29</v>
      </c>
      <c r="B95" s="5" t="s">
        <v>27</v>
      </c>
      <c r="C95" s="5" t="s">
        <v>33</v>
      </c>
      <c r="D95" s="5">
        <f>AVERAGE(G42:G51)</f>
        <v>0.83288112118016622</v>
      </c>
      <c r="E95" s="5">
        <f>MIN(G42:G51)</f>
        <v>0.83125149118990527</v>
      </c>
      <c r="F95" s="5">
        <f>MAX(G42:G51)</f>
        <v>0.83418242707182377</v>
      </c>
      <c r="G95" s="5">
        <f>COUNT(G42:G51)</f>
        <v>10</v>
      </c>
    </row>
    <row r="96" spans="1:7" x14ac:dyDescent="0.25">
      <c r="A96" s="5" t="s">
        <v>29</v>
      </c>
      <c r="B96" s="5" t="s">
        <v>27</v>
      </c>
      <c r="C96" s="5" t="s">
        <v>47</v>
      </c>
      <c r="D96" s="5">
        <f>AVERAGE(H42:H51)</f>
        <v>12.493216817702493</v>
      </c>
      <c r="E96" s="5">
        <f>MIN(H42:H51)</f>
        <v>12.46877236784858</v>
      </c>
      <c r="F96" s="5">
        <f>MAX(H42:H51)</f>
        <v>12.51273640607736</v>
      </c>
      <c r="G96" s="5">
        <f>COUNT(H42:H51)</f>
        <v>10</v>
      </c>
    </row>
    <row r="97" spans="1:7" x14ac:dyDescent="0.25">
      <c r="A97" s="5" t="s">
        <v>29</v>
      </c>
      <c r="B97" s="5" t="s">
        <v>27</v>
      </c>
      <c r="C97" s="5" t="s">
        <v>48</v>
      </c>
      <c r="D97" s="5">
        <f>AVERAGE(I42:I51)</f>
        <v>9.7513917555513263</v>
      </c>
      <c r="E97" s="5">
        <f>MIN(I42:I51)</f>
        <v>9.7207965540503825</v>
      </c>
      <c r="F97" s="5">
        <f>MAX(I42:I51)</f>
        <v>9.7841592890752871</v>
      </c>
      <c r="G97" s="5">
        <f>COUNT(I42:I51)</f>
        <v>10</v>
      </c>
    </row>
    <row r="98" spans="1:7" x14ac:dyDescent="0.25">
      <c r="A98" s="5" t="s">
        <v>29</v>
      </c>
      <c r="B98" s="5" t="s">
        <v>27</v>
      </c>
      <c r="C98" s="5" t="s">
        <v>49</v>
      </c>
      <c r="D98" s="5">
        <f>AVERAGE(J42:J51)</f>
        <v>15.5</v>
      </c>
      <c r="E98" s="5">
        <f>MIN(J42:J51)</f>
        <v>8</v>
      </c>
      <c r="F98" s="5">
        <f>MAX(J42:J51)</f>
        <v>22</v>
      </c>
      <c r="G98" s="5">
        <f>COUNT(J42:J51)</f>
        <v>10</v>
      </c>
    </row>
    <row r="99" spans="1:7" x14ac:dyDescent="0.25">
      <c r="A99" s="5" t="s">
        <v>29</v>
      </c>
      <c r="B99" s="5" t="s">
        <v>27</v>
      </c>
      <c r="C99" s="5" t="s">
        <v>50</v>
      </c>
      <c r="D99" s="5">
        <f>AVERAGE(K42:K51)</f>
        <v>8.9079393434422327E-4</v>
      </c>
      <c r="E99" s="5">
        <f>MIN(K42:K51)</f>
        <v>4.6041431058059371E-4</v>
      </c>
      <c r="F99" s="5">
        <f>MAX(K42:K51)</f>
        <v>1.2632979725137269E-3</v>
      </c>
      <c r="G99" s="5">
        <f>COUNT(K42:K51)</f>
        <v>10</v>
      </c>
    </row>
    <row r="100" spans="1:7" x14ac:dyDescent="0.25">
      <c r="A100" s="5" t="s">
        <v>29</v>
      </c>
      <c r="B100" s="5" t="s">
        <v>28</v>
      </c>
      <c r="C100" s="5" t="s">
        <v>31</v>
      </c>
      <c r="D100" s="5">
        <f>AVERAGE(E52:E61)</f>
        <v>0.69409333929178108</v>
      </c>
      <c r="E100" s="5">
        <f>MIN(E52:E61)</f>
        <v>0.692233997177927</v>
      </c>
      <c r="F100" s="5">
        <f>MAX(E52:E61)</f>
        <v>0.69648125888865975</v>
      </c>
      <c r="G100" s="5">
        <f>COUNT(E52:E61)</f>
        <v>10</v>
      </c>
    </row>
    <row r="101" spans="1:7" x14ac:dyDescent="0.25">
      <c r="A101" s="5" t="s">
        <v>29</v>
      </c>
      <c r="B101" s="5" t="s">
        <v>28</v>
      </c>
      <c r="C101" s="5" t="s">
        <v>32</v>
      </c>
      <c r="D101" s="5">
        <f>AVERAGE(F52:F61)</f>
        <v>0.62461804717617087</v>
      </c>
      <c r="E101" s="5">
        <f>MIN(F52:F61)</f>
        <v>0.62323188056844614</v>
      </c>
      <c r="F101" s="5">
        <f>MAX(F52:F61)</f>
        <v>0.62584762503871572</v>
      </c>
      <c r="G101" s="5">
        <f>COUNT(F52:F61)</f>
        <v>10</v>
      </c>
    </row>
    <row r="102" spans="1:7" x14ac:dyDescent="0.25">
      <c r="A102" s="5" t="s">
        <v>29</v>
      </c>
      <c r="B102" s="5" t="s">
        <v>28</v>
      </c>
      <c r="C102" s="5" t="s">
        <v>33</v>
      </c>
      <c r="D102" s="5">
        <f>AVERAGE(G52:G61)</f>
        <v>0.62461804717617087</v>
      </c>
      <c r="E102" s="5">
        <f>MIN(G52:G61)</f>
        <v>0.62323188056844614</v>
      </c>
      <c r="F102" s="5">
        <f>MAX(G52:G61)</f>
        <v>0.62584762503871572</v>
      </c>
      <c r="G102" s="5">
        <f>COUNT(G52:G61)</f>
        <v>10</v>
      </c>
    </row>
    <row r="103" spans="1:7" x14ac:dyDescent="0.25">
      <c r="A103" s="5" t="s">
        <v>29</v>
      </c>
      <c r="B103" s="5" t="s">
        <v>28</v>
      </c>
      <c r="C103" s="5" t="s">
        <v>47</v>
      </c>
      <c r="D103" s="5">
        <f>AVERAGE(H52:H61)</f>
        <v>12.492360943523416</v>
      </c>
      <c r="E103" s="5">
        <f>MIN(H52:H61)</f>
        <v>12.46463761136892</v>
      </c>
      <c r="F103" s="5">
        <f>MAX(H52:H61)</f>
        <v>12.516952500774311</v>
      </c>
      <c r="G103" s="5">
        <f>COUNT(H52:H61)</f>
        <v>10</v>
      </c>
    </row>
    <row r="104" spans="1:7" x14ac:dyDescent="0.25">
      <c r="A104" s="5" t="s">
        <v>29</v>
      </c>
      <c r="B104" s="5" t="s">
        <v>28</v>
      </c>
      <c r="C104" s="5" t="s">
        <v>48</v>
      </c>
      <c r="D104" s="5">
        <f>AVERAGE(I52:I61)</f>
        <v>3.3336831862619478</v>
      </c>
      <c r="E104" s="5">
        <f>MIN(I52:I61)</f>
        <v>3.330395000778827</v>
      </c>
      <c r="F104" s="5">
        <f>MAX(I52:I61)</f>
        <v>3.3385822572015411</v>
      </c>
      <c r="G104" s="5">
        <f>COUNT(I52:I61)</f>
        <v>10</v>
      </c>
    </row>
    <row r="105" spans="1:7" x14ac:dyDescent="0.25">
      <c r="A105" s="5" t="s">
        <v>29</v>
      </c>
      <c r="B105" s="5" t="s">
        <v>28</v>
      </c>
      <c r="C105" s="5" t="s">
        <v>49</v>
      </c>
      <c r="D105" s="5">
        <f>AVERAGE(J52:J61)</f>
        <v>0</v>
      </c>
      <c r="E105" s="5">
        <f>MIN(J52:J61)</f>
        <v>0</v>
      </c>
      <c r="F105" s="5">
        <f>MAX(J52:J61)</f>
        <v>0</v>
      </c>
      <c r="G105" s="5">
        <f>COUNT(J52:J61)</f>
        <v>10</v>
      </c>
    </row>
    <row r="106" spans="1:7" x14ac:dyDescent="0.25">
      <c r="A106" s="5" t="s">
        <v>29</v>
      </c>
      <c r="B106" s="5" t="s">
        <v>28</v>
      </c>
      <c r="C106" s="5" t="s">
        <v>50</v>
      </c>
      <c r="D106" s="5">
        <f>AVERAGE(K52:K61)</f>
        <v>0</v>
      </c>
      <c r="E106" s="5">
        <f>MIN(K52:K61)</f>
        <v>0</v>
      </c>
      <c r="F106" s="5">
        <f>MAX(K52:K61)</f>
        <v>0</v>
      </c>
      <c r="G106" s="5">
        <f>COUNT(K52:K61)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Leia-me</vt:lpstr>
      <vt:lpstr>Estados_inicial</vt:lpstr>
      <vt:lpstr>Estados_melhorado</vt:lpstr>
      <vt:lpstr>Indices</vt:lpstr>
      <vt:lpstr>Comparacao</vt:lpstr>
      <vt:lpstr>Replicacoes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Humberto Gomes</cp:lastModifiedBy>
  <dcterms:created xsi:type="dcterms:W3CDTF">2026-10-13T19:35:36Z</dcterms:created>
  <dcterms:modified xsi:type="dcterms:W3CDTF">2026-10-13T19:35:41Z</dcterms:modified>
</cp:coreProperties>
</file>